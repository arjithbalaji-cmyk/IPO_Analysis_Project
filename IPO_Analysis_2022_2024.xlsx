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arjithbalaji/Library/Containers/net.whatsapp.WhatsApp/Data/tmp/documents/"/>
    </mc:Choice>
  </mc:AlternateContent>
  <xr:revisionPtr revIDLastSave="0" documentId="13_ncr:1_{C9BB7CEC-EE33-0546-B5D1-6B30E29F6675}" xr6:coauthVersionLast="47" xr6:coauthVersionMax="47" xr10:uidLastSave="{00000000-0000-0000-0000-000000000000}"/>
  <bookViews>
    <workbookView xWindow="0" yWindow="0" windowWidth="28800" windowHeight="18000" xr2:uid="{C4FE60ED-C6BC-CF48-A298-45D391FAB3C7}"/>
  </bookViews>
  <sheets>
    <sheet name="Sheet1" sheetId="1" r:id="rId1"/>
    <sheet name="Sheet2" sheetId="2" r:id="rId2"/>
  </sheets>
  <calcPr calcId="191029"/>
  <pivotCaches>
    <pivotCache cacheId="2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2" i="1"/>
</calcChain>
</file>

<file path=xl/sharedStrings.xml><?xml version="1.0" encoding="utf-8"?>
<sst xmlns="http://schemas.openxmlformats.org/spreadsheetml/2006/main" count="198" uniqueCount="113">
  <si>
    <t>Company Name</t>
  </si>
  <si>
    <t>Issue Year</t>
  </si>
  <si>
    <t>Sector</t>
  </si>
  <si>
    <t>Issue Size (Cr)</t>
  </si>
  <si>
    <t>QIB (x)</t>
  </si>
  <si>
    <t>Retail (x)</t>
  </si>
  <si>
    <t>Total Subscription (x)</t>
  </si>
  <si>
    <t>GMP %</t>
  </si>
  <si>
    <t>Listing Return %</t>
  </si>
  <si>
    <t>Tata Technologies</t>
  </si>
  <si>
    <t>Tech</t>
  </si>
  <si>
    <t>LIC of India</t>
  </si>
  <si>
    <t>Finance</t>
  </si>
  <si>
    <t>IREDA</t>
  </si>
  <si>
    <t>Bajaj Housing Finance</t>
  </si>
  <si>
    <t>Delhivery</t>
  </si>
  <si>
    <t>Logistics</t>
  </si>
  <si>
    <t>Mankind Pharma</t>
  </si>
  <si>
    <t>Healthcare</t>
  </si>
  <si>
    <t>Ola Electric</t>
  </si>
  <si>
    <t>Auto</t>
  </si>
  <si>
    <t>Adani Wilmar</t>
  </si>
  <si>
    <t>FMCG</t>
  </si>
  <si>
    <t>JSW Infrastructure</t>
  </si>
  <si>
    <t>Infrastructure</t>
  </si>
  <si>
    <t>Cello World</t>
  </si>
  <si>
    <t>Manufacturing</t>
  </si>
  <si>
    <t>Bharti Hexacom</t>
  </si>
  <si>
    <t>Telecom</t>
  </si>
  <si>
    <t>Mamaearth (Honasa)</t>
  </si>
  <si>
    <t>FirstCry</t>
  </si>
  <si>
    <t>Retail</t>
  </si>
  <si>
    <t>Campus Activewear</t>
  </si>
  <si>
    <t>Go Digit</t>
  </si>
  <si>
    <t>Vedant Fashions</t>
  </si>
  <si>
    <t>Rainbow Childrens</t>
  </si>
  <si>
    <t>Tracxn Tech</t>
  </si>
  <si>
    <t>Bikaji Foods</t>
  </si>
  <si>
    <t>Global Health (Medanta)</t>
  </si>
  <si>
    <t>Five Star Business</t>
  </si>
  <si>
    <t>Keystone Realtors</t>
  </si>
  <si>
    <t>Real Estate</t>
  </si>
  <si>
    <t>Inox Green</t>
  </si>
  <si>
    <t>Energy</t>
  </si>
  <si>
    <t>Archean Chemical</t>
  </si>
  <si>
    <t>Chemicals</t>
  </si>
  <si>
    <t>Kaynes Technology</t>
  </si>
  <si>
    <t>Dharmaj Crop</t>
  </si>
  <si>
    <t>Agriculture</t>
  </si>
  <si>
    <t>Sula Vineyards</t>
  </si>
  <si>
    <t>KFin Tech</t>
  </si>
  <si>
    <t>Elin Electronics</t>
  </si>
  <si>
    <t>Radiant Cash</t>
  </si>
  <si>
    <t>Sah Polymers</t>
  </si>
  <si>
    <t>Divgi TorqTransfer</t>
  </si>
  <si>
    <t>Global Surfaces</t>
  </si>
  <si>
    <t>Udayshivakumar Infra</t>
  </si>
  <si>
    <t>Avalon Tech</t>
  </si>
  <si>
    <t>Nexus Select Trust</t>
  </si>
  <si>
    <t>IKIO Lighting</t>
  </si>
  <si>
    <t>ideaForge Tech</t>
  </si>
  <si>
    <t>Cyient DLM</t>
  </si>
  <si>
    <t>Senco Gold</t>
  </si>
  <si>
    <t>Utkarsh SFB</t>
  </si>
  <si>
    <t>Netweb Tech</t>
  </si>
  <si>
    <t>Yatharth Hospital</t>
  </si>
  <si>
    <t>SBFC Finance</t>
  </si>
  <si>
    <t>Concord Biotech</t>
  </si>
  <si>
    <t>TVS Supply Chain</t>
  </si>
  <si>
    <t>Aeroflex Industries</t>
  </si>
  <si>
    <t>Vishnu Prakash</t>
  </si>
  <si>
    <t>Rishabh Instruments</t>
  </si>
  <si>
    <t>EMS Limited</t>
  </si>
  <si>
    <t>RR Kabel</t>
  </si>
  <si>
    <t>Zaggle Prepaid</t>
  </si>
  <si>
    <t>Updater Services</t>
  </si>
  <si>
    <t>Services</t>
  </si>
  <si>
    <t>Plaza Wires</t>
  </si>
  <si>
    <t>Valiant Labs</t>
  </si>
  <si>
    <t>Blue Jet Health</t>
  </si>
  <si>
    <t>ESAF SFB</t>
  </si>
  <si>
    <t>Protean eGov</t>
  </si>
  <si>
    <t>ASK Automotive</t>
  </si>
  <si>
    <t>Fedbank Financial</t>
  </si>
  <si>
    <t>Flair Writing</t>
  </si>
  <si>
    <t>DOMS Industries</t>
  </si>
  <si>
    <t>India Shelter</t>
  </si>
  <si>
    <t>Inox CVA</t>
  </si>
  <si>
    <t>Muthoot Microfin</t>
  </si>
  <si>
    <t>Motisons Jewellers</t>
  </si>
  <si>
    <t>Suraj Estate</t>
  </si>
  <si>
    <t>Happy Forgings</t>
  </si>
  <si>
    <t>RBZ Jewellers</t>
  </si>
  <si>
    <t>Azad Engineering</t>
  </si>
  <si>
    <t>Innova Captab</t>
  </si>
  <si>
    <t>Jyoti CNC Auto</t>
  </si>
  <si>
    <t>Medi Assist</t>
  </si>
  <si>
    <t>Epack Durable</t>
  </si>
  <si>
    <t>Nova AgriTech</t>
  </si>
  <si>
    <t>Apeejay Surrendra</t>
  </si>
  <si>
    <t>Hospitality</t>
  </si>
  <si>
    <t>Rashi Peripherals</t>
  </si>
  <si>
    <t>Capital SFB</t>
  </si>
  <si>
    <t>Jana SFB</t>
  </si>
  <si>
    <t>Vibhor Steel</t>
  </si>
  <si>
    <t>Score</t>
  </si>
  <si>
    <t>Row Labels</t>
  </si>
  <si>
    <t>Grand Total</t>
  </si>
  <si>
    <t>Moderate</t>
  </si>
  <si>
    <t>Strong</t>
  </si>
  <si>
    <t>Weak</t>
  </si>
  <si>
    <t>Column Labels</t>
  </si>
  <si>
    <t>Count of Company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</si>
</sst>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9" fontId="0" fillId="0" borderId="0" xfId="1" applyFon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</cellXfs>
  <cellStyles count="2">
    <cellStyle name="Normal" xfId="0" builtinId="0"/>
    <cellStyle name="Per cent" xfId="1" builtinId="5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Listing Return %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Sheet1!$G$2:$G$83</c:f>
              <c:numCache>
                <c:formatCode>General</c:formatCode>
                <c:ptCount val="82"/>
                <c:pt idx="0">
                  <c:v>69.400000000000006</c:v>
                </c:pt>
                <c:pt idx="1">
                  <c:v>2.9</c:v>
                </c:pt>
                <c:pt idx="2">
                  <c:v>38.799999999999997</c:v>
                </c:pt>
                <c:pt idx="3">
                  <c:v>63.6</c:v>
                </c:pt>
                <c:pt idx="4">
                  <c:v>1.6</c:v>
                </c:pt>
                <c:pt idx="5">
                  <c:v>15.3</c:v>
                </c:pt>
                <c:pt idx="6">
                  <c:v>4.2</c:v>
                </c:pt>
                <c:pt idx="7">
                  <c:v>17.3</c:v>
                </c:pt>
                <c:pt idx="8">
                  <c:v>37.299999999999997</c:v>
                </c:pt>
                <c:pt idx="9">
                  <c:v>38.9</c:v>
                </c:pt>
                <c:pt idx="10">
                  <c:v>29.8</c:v>
                </c:pt>
                <c:pt idx="11">
                  <c:v>7.6</c:v>
                </c:pt>
                <c:pt idx="12">
                  <c:v>12.2</c:v>
                </c:pt>
                <c:pt idx="13">
                  <c:v>51.7</c:v>
                </c:pt>
                <c:pt idx="14">
                  <c:v>9.6</c:v>
                </c:pt>
                <c:pt idx="15">
                  <c:v>2.5</c:v>
                </c:pt>
                <c:pt idx="16">
                  <c:v>12.4</c:v>
                </c:pt>
                <c:pt idx="17">
                  <c:v>2</c:v>
                </c:pt>
                <c:pt idx="18">
                  <c:v>26.6</c:v>
                </c:pt>
                <c:pt idx="19">
                  <c:v>9.5</c:v>
                </c:pt>
                <c:pt idx="20">
                  <c:v>0.7</c:v>
                </c:pt>
                <c:pt idx="21">
                  <c:v>2</c:v>
                </c:pt>
                <c:pt idx="22">
                  <c:v>1.5</c:v>
                </c:pt>
                <c:pt idx="23">
                  <c:v>32.200000000000003</c:v>
                </c:pt>
                <c:pt idx="24">
                  <c:v>34.1</c:v>
                </c:pt>
                <c:pt idx="25">
                  <c:v>35.4</c:v>
                </c:pt>
                <c:pt idx="26">
                  <c:v>2.2999999999999998</c:v>
                </c:pt>
                <c:pt idx="27">
                  <c:v>2.5</c:v>
                </c:pt>
                <c:pt idx="28">
                  <c:v>3</c:v>
                </c:pt>
                <c:pt idx="29">
                  <c:v>0.5</c:v>
                </c:pt>
                <c:pt idx="30">
                  <c:v>17.399999999999999</c:v>
                </c:pt>
                <c:pt idx="31">
                  <c:v>5.4</c:v>
                </c:pt>
                <c:pt idx="32">
                  <c:v>12.2</c:v>
                </c:pt>
                <c:pt idx="33">
                  <c:v>30.6</c:v>
                </c:pt>
                <c:pt idx="34">
                  <c:v>2.2000000000000002</c:v>
                </c:pt>
                <c:pt idx="35">
                  <c:v>15.3</c:v>
                </c:pt>
                <c:pt idx="36">
                  <c:v>5.4</c:v>
                </c:pt>
                <c:pt idx="37">
                  <c:v>66.3</c:v>
                </c:pt>
                <c:pt idx="38">
                  <c:v>106</c:v>
                </c:pt>
                <c:pt idx="39">
                  <c:v>67.3</c:v>
                </c:pt>
                <c:pt idx="40">
                  <c:v>73.3</c:v>
                </c:pt>
                <c:pt idx="41">
                  <c:v>101.9</c:v>
                </c:pt>
                <c:pt idx="42">
                  <c:v>90.3</c:v>
                </c:pt>
                <c:pt idx="43">
                  <c:v>36.1</c:v>
                </c:pt>
                <c:pt idx="44">
                  <c:v>70.099999999999994</c:v>
                </c:pt>
                <c:pt idx="45">
                  <c:v>24.8</c:v>
                </c:pt>
                <c:pt idx="46">
                  <c:v>2.7</c:v>
                </c:pt>
                <c:pt idx="47">
                  <c:v>97.1</c:v>
                </c:pt>
                <c:pt idx="48">
                  <c:v>87.8</c:v>
                </c:pt>
                <c:pt idx="49">
                  <c:v>31.6</c:v>
                </c:pt>
                <c:pt idx="50">
                  <c:v>75.2</c:v>
                </c:pt>
                <c:pt idx="51">
                  <c:v>18.600000000000001</c:v>
                </c:pt>
                <c:pt idx="52">
                  <c:v>12.5</c:v>
                </c:pt>
                <c:pt idx="53">
                  <c:v>2.9</c:v>
                </c:pt>
                <c:pt idx="54">
                  <c:v>160.9</c:v>
                </c:pt>
                <c:pt idx="55">
                  <c:v>29.7</c:v>
                </c:pt>
                <c:pt idx="56">
                  <c:v>7.9</c:v>
                </c:pt>
                <c:pt idx="57">
                  <c:v>73.099999999999994</c:v>
                </c:pt>
                <c:pt idx="58">
                  <c:v>23.8</c:v>
                </c:pt>
                <c:pt idx="59">
                  <c:v>51.1</c:v>
                </c:pt>
                <c:pt idx="60">
                  <c:v>38.799999999999997</c:v>
                </c:pt>
                <c:pt idx="61">
                  <c:v>2.2000000000000002</c:v>
                </c:pt>
                <c:pt idx="62">
                  <c:v>46.6</c:v>
                </c:pt>
                <c:pt idx="63">
                  <c:v>93.5</c:v>
                </c:pt>
                <c:pt idx="64">
                  <c:v>36.700000000000003</c:v>
                </c:pt>
                <c:pt idx="65">
                  <c:v>61.2</c:v>
                </c:pt>
                <c:pt idx="66">
                  <c:v>11.5</c:v>
                </c:pt>
                <c:pt idx="67">
                  <c:v>159.6</c:v>
                </c:pt>
                <c:pt idx="68">
                  <c:v>15.6</c:v>
                </c:pt>
                <c:pt idx="69">
                  <c:v>82</c:v>
                </c:pt>
                <c:pt idx="70">
                  <c:v>16.8</c:v>
                </c:pt>
                <c:pt idx="71">
                  <c:v>80.599999999999994</c:v>
                </c:pt>
                <c:pt idx="72">
                  <c:v>55.2</c:v>
                </c:pt>
                <c:pt idx="73">
                  <c:v>38.5</c:v>
                </c:pt>
                <c:pt idx="74">
                  <c:v>16.2</c:v>
                </c:pt>
                <c:pt idx="75">
                  <c:v>16.3</c:v>
                </c:pt>
                <c:pt idx="76">
                  <c:v>109.3</c:v>
                </c:pt>
                <c:pt idx="77">
                  <c:v>24.4</c:v>
                </c:pt>
                <c:pt idx="78">
                  <c:v>59.7</c:v>
                </c:pt>
                <c:pt idx="79">
                  <c:v>4</c:v>
                </c:pt>
                <c:pt idx="80">
                  <c:v>18.5</c:v>
                </c:pt>
                <c:pt idx="81">
                  <c:v>298.8</c:v>
                </c:pt>
              </c:numCache>
            </c:numRef>
          </c:xVal>
          <c:yVal>
            <c:numRef>
              <c:f>Sheet1!$I$2:$I$83</c:f>
              <c:numCache>
                <c:formatCode>0%</c:formatCode>
                <c:ptCount val="82"/>
                <c:pt idx="0">
                  <c:v>1.4</c:v>
                </c:pt>
                <c:pt idx="1">
                  <c:v>-0.08</c:v>
                </c:pt>
                <c:pt idx="2">
                  <c:v>0.87</c:v>
                </c:pt>
                <c:pt idx="3">
                  <c:v>1.1399999999999999</c:v>
                </c:pt>
                <c:pt idx="4">
                  <c:v>0.1</c:v>
                </c:pt>
                <c:pt idx="5">
                  <c:v>0.2</c:v>
                </c:pt>
                <c:pt idx="6">
                  <c:v>0.2</c:v>
                </c:pt>
                <c:pt idx="7">
                  <c:v>0.16</c:v>
                </c:pt>
                <c:pt idx="8">
                  <c:v>0.32</c:v>
                </c:pt>
                <c:pt idx="9">
                  <c:v>0.28000000000000003</c:v>
                </c:pt>
                <c:pt idx="10">
                  <c:v>0.32</c:v>
                </c:pt>
                <c:pt idx="11">
                  <c:v>0.04</c:v>
                </c:pt>
                <c:pt idx="12">
                  <c:v>0.4</c:v>
                </c:pt>
                <c:pt idx="13">
                  <c:v>0.23</c:v>
                </c:pt>
                <c:pt idx="14">
                  <c:v>0.12</c:v>
                </c:pt>
                <c:pt idx="15">
                  <c:v>0.08</c:v>
                </c:pt>
                <c:pt idx="16">
                  <c:v>-0.06</c:v>
                </c:pt>
                <c:pt idx="17">
                  <c:v>0.16</c:v>
                </c:pt>
                <c:pt idx="18">
                  <c:v>7.0000000000000007E-2</c:v>
                </c:pt>
                <c:pt idx="19">
                  <c:v>0.19</c:v>
                </c:pt>
                <c:pt idx="20">
                  <c:v>0.05</c:v>
                </c:pt>
                <c:pt idx="21">
                  <c:v>0.03</c:v>
                </c:pt>
                <c:pt idx="22">
                  <c:v>-0.09</c:v>
                </c:pt>
                <c:pt idx="23">
                  <c:v>0.1</c:v>
                </c:pt>
                <c:pt idx="24">
                  <c:v>0.32</c:v>
                </c:pt>
                <c:pt idx="25">
                  <c:v>0.12</c:v>
                </c:pt>
                <c:pt idx="26">
                  <c:v>0.01</c:v>
                </c:pt>
                <c:pt idx="27">
                  <c:v>-0.05</c:v>
                </c:pt>
                <c:pt idx="28">
                  <c:v>-0.01</c:v>
                </c:pt>
                <c:pt idx="29">
                  <c:v>0.04</c:v>
                </c:pt>
                <c:pt idx="30">
                  <c:v>0.3</c:v>
                </c:pt>
                <c:pt idx="31">
                  <c:v>0.05</c:v>
                </c:pt>
                <c:pt idx="32">
                  <c:v>0.17</c:v>
                </c:pt>
                <c:pt idx="33">
                  <c:v>-0.08</c:v>
                </c:pt>
                <c:pt idx="34">
                  <c:v>0.01</c:v>
                </c:pt>
                <c:pt idx="35">
                  <c:v>0.2</c:v>
                </c:pt>
                <c:pt idx="36">
                  <c:v>0.03</c:v>
                </c:pt>
                <c:pt idx="37">
                  <c:v>0.37</c:v>
                </c:pt>
                <c:pt idx="38">
                  <c:v>0.94</c:v>
                </c:pt>
                <c:pt idx="39">
                  <c:v>0.51</c:v>
                </c:pt>
                <c:pt idx="40">
                  <c:v>0.36</c:v>
                </c:pt>
                <c:pt idx="41">
                  <c:v>0.92</c:v>
                </c:pt>
                <c:pt idx="42">
                  <c:v>0.82</c:v>
                </c:pt>
                <c:pt idx="43">
                  <c:v>0.11</c:v>
                </c:pt>
                <c:pt idx="44">
                  <c:v>0.62</c:v>
                </c:pt>
                <c:pt idx="45">
                  <c:v>0.27</c:v>
                </c:pt>
                <c:pt idx="46">
                  <c:v>0.05</c:v>
                </c:pt>
                <c:pt idx="47">
                  <c:v>0.51</c:v>
                </c:pt>
                <c:pt idx="48">
                  <c:v>0.47</c:v>
                </c:pt>
                <c:pt idx="49">
                  <c:v>0.04</c:v>
                </c:pt>
                <c:pt idx="50">
                  <c:v>0.33</c:v>
                </c:pt>
                <c:pt idx="51">
                  <c:v>0.14000000000000001</c:v>
                </c:pt>
                <c:pt idx="52">
                  <c:v>0.16</c:v>
                </c:pt>
                <c:pt idx="53">
                  <c:v>-0.05</c:v>
                </c:pt>
                <c:pt idx="54">
                  <c:v>0.4</c:v>
                </c:pt>
                <c:pt idx="55">
                  <c:v>0.16</c:v>
                </c:pt>
                <c:pt idx="56">
                  <c:v>0.19</c:v>
                </c:pt>
                <c:pt idx="57">
                  <c:v>0.15</c:v>
                </c:pt>
                <c:pt idx="58">
                  <c:v>0.11</c:v>
                </c:pt>
                <c:pt idx="59">
                  <c:v>0.08</c:v>
                </c:pt>
                <c:pt idx="60">
                  <c:v>0.87</c:v>
                </c:pt>
                <c:pt idx="61">
                  <c:v>0.01</c:v>
                </c:pt>
                <c:pt idx="62">
                  <c:v>0.65</c:v>
                </c:pt>
                <c:pt idx="63">
                  <c:v>0.77</c:v>
                </c:pt>
                <c:pt idx="64">
                  <c:v>0.25</c:v>
                </c:pt>
                <c:pt idx="65">
                  <c:v>0.43</c:v>
                </c:pt>
                <c:pt idx="66">
                  <c:v>0.04</c:v>
                </c:pt>
                <c:pt idx="67">
                  <c:v>0.98</c:v>
                </c:pt>
                <c:pt idx="68">
                  <c:v>-0.05</c:v>
                </c:pt>
                <c:pt idx="69">
                  <c:v>0.17</c:v>
                </c:pt>
                <c:pt idx="70">
                  <c:v>0</c:v>
                </c:pt>
                <c:pt idx="71">
                  <c:v>0.28999999999999998</c:v>
                </c:pt>
                <c:pt idx="72">
                  <c:v>0.21</c:v>
                </c:pt>
                <c:pt idx="73">
                  <c:v>0.3</c:v>
                </c:pt>
                <c:pt idx="74">
                  <c:v>0.11</c:v>
                </c:pt>
                <c:pt idx="75">
                  <c:v>-0.04</c:v>
                </c:pt>
                <c:pt idx="76">
                  <c:v>0.34</c:v>
                </c:pt>
                <c:pt idx="77">
                  <c:v>0.02</c:v>
                </c:pt>
                <c:pt idx="78">
                  <c:v>0.09</c:v>
                </c:pt>
                <c:pt idx="79">
                  <c:v>-0.08</c:v>
                </c:pt>
                <c:pt idx="80">
                  <c:v>-0.04</c:v>
                </c:pt>
                <c:pt idx="81">
                  <c:v>1.81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9A-9F47-A938-EB1B5F9AD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2237247"/>
        <c:axId val="1046539647"/>
      </c:scatterChart>
      <c:valAx>
        <c:axId val="1052237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539647"/>
        <c:crosses val="autoZero"/>
        <c:crossBetween val="midCat"/>
      </c:valAx>
      <c:valAx>
        <c:axId val="1046539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2372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[IPO_Analysis_2022_2024.xlsx]Sheet2!PivotTable2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Moderate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Sheet2!$A$5:$A$21</c:f>
              <c:strCache>
                <c:ptCount val="16"/>
                <c:pt idx="0">
                  <c:v>Agriculture</c:v>
                </c:pt>
                <c:pt idx="1">
                  <c:v>Auto</c:v>
                </c:pt>
                <c:pt idx="2">
                  <c:v>Chemicals</c:v>
                </c:pt>
                <c:pt idx="3">
                  <c:v>Energy</c:v>
                </c:pt>
                <c:pt idx="4">
                  <c:v>Finance</c:v>
                </c:pt>
                <c:pt idx="5">
                  <c:v>FMCG</c:v>
                </c:pt>
                <c:pt idx="6">
                  <c:v>Healthcare</c:v>
                </c:pt>
                <c:pt idx="7">
                  <c:v>Hospitality</c:v>
                </c:pt>
                <c:pt idx="8">
                  <c:v>Infrastructure</c:v>
                </c:pt>
                <c:pt idx="9">
                  <c:v>Logistics</c:v>
                </c:pt>
                <c:pt idx="10">
                  <c:v>Manufacturing</c:v>
                </c:pt>
                <c:pt idx="11">
                  <c:v>Real Estate</c:v>
                </c:pt>
                <c:pt idx="12">
                  <c:v>Retail</c:v>
                </c:pt>
                <c:pt idx="13">
                  <c:v>Services</c:v>
                </c:pt>
                <c:pt idx="14">
                  <c:v>Tech</c:v>
                </c:pt>
                <c:pt idx="15">
                  <c:v>Telecom</c:v>
                </c:pt>
              </c:strCache>
            </c:strRef>
          </c:cat>
          <c:val>
            <c:numRef>
              <c:f>Sheet2!$B$5:$B$21</c:f>
              <c:numCache>
                <c:formatCode>General</c:formatCode>
                <c:ptCount val="1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4">
                  <c:v>4</c:v>
                </c:pt>
                <c:pt idx="5">
                  <c:v>2</c:v>
                </c:pt>
                <c:pt idx="6">
                  <c:v>6</c:v>
                </c:pt>
                <c:pt idx="7">
                  <c:v>1</c:v>
                </c:pt>
                <c:pt idx="8">
                  <c:v>1</c:v>
                </c:pt>
                <c:pt idx="10">
                  <c:v>7</c:v>
                </c:pt>
                <c:pt idx="12">
                  <c:v>1</c:v>
                </c:pt>
                <c:pt idx="14">
                  <c:v>3</c:v>
                </c:pt>
                <c:pt idx="1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F1-254F-B0B6-81F11BDF5149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Strong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Sheet2!$A$5:$A$21</c:f>
              <c:strCache>
                <c:ptCount val="16"/>
                <c:pt idx="0">
                  <c:v>Agriculture</c:v>
                </c:pt>
                <c:pt idx="1">
                  <c:v>Auto</c:v>
                </c:pt>
                <c:pt idx="2">
                  <c:v>Chemicals</c:v>
                </c:pt>
                <c:pt idx="3">
                  <c:v>Energy</c:v>
                </c:pt>
                <c:pt idx="4">
                  <c:v>Finance</c:v>
                </c:pt>
                <c:pt idx="5">
                  <c:v>FMCG</c:v>
                </c:pt>
                <c:pt idx="6">
                  <c:v>Healthcare</c:v>
                </c:pt>
                <c:pt idx="7">
                  <c:v>Hospitality</c:v>
                </c:pt>
                <c:pt idx="8">
                  <c:v>Infrastructure</c:v>
                </c:pt>
                <c:pt idx="9">
                  <c:v>Logistics</c:v>
                </c:pt>
                <c:pt idx="10">
                  <c:v>Manufacturing</c:v>
                </c:pt>
                <c:pt idx="11">
                  <c:v>Real Estate</c:v>
                </c:pt>
                <c:pt idx="12">
                  <c:v>Retail</c:v>
                </c:pt>
                <c:pt idx="13">
                  <c:v>Services</c:v>
                </c:pt>
                <c:pt idx="14">
                  <c:v>Tech</c:v>
                </c:pt>
                <c:pt idx="15">
                  <c:v>Telecom</c:v>
                </c:pt>
              </c:strCache>
            </c:strRef>
          </c:cat>
          <c:val>
            <c:numRef>
              <c:f>Sheet2!$C$5:$C$21</c:f>
              <c:numCache>
                <c:formatCode>General</c:formatCode>
                <c:ptCount val="16"/>
                <c:pt idx="0">
                  <c:v>1</c:v>
                </c:pt>
                <c:pt idx="4">
                  <c:v>3</c:v>
                </c:pt>
                <c:pt idx="6">
                  <c:v>1</c:v>
                </c:pt>
                <c:pt idx="8">
                  <c:v>2</c:v>
                </c:pt>
                <c:pt idx="10">
                  <c:v>7</c:v>
                </c:pt>
                <c:pt idx="12">
                  <c:v>3</c:v>
                </c:pt>
                <c:pt idx="1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F1-254F-B0B6-81F11BDF5149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Weak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Sheet2!$A$5:$A$21</c:f>
              <c:strCache>
                <c:ptCount val="16"/>
                <c:pt idx="0">
                  <c:v>Agriculture</c:v>
                </c:pt>
                <c:pt idx="1">
                  <c:v>Auto</c:v>
                </c:pt>
                <c:pt idx="2">
                  <c:v>Chemicals</c:v>
                </c:pt>
                <c:pt idx="3">
                  <c:v>Energy</c:v>
                </c:pt>
                <c:pt idx="4">
                  <c:v>Finance</c:v>
                </c:pt>
                <c:pt idx="5">
                  <c:v>FMCG</c:v>
                </c:pt>
                <c:pt idx="6">
                  <c:v>Healthcare</c:v>
                </c:pt>
                <c:pt idx="7">
                  <c:v>Hospitality</c:v>
                </c:pt>
                <c:pt idx="8">
                  <c:v>Infrastructure</c:v>
                </c:pt>
                <c:pt idx="9">
                  <c:v>Logistics</c:v>
                </c:pt>
                <c:pt idx="10">
                  <c:v>Manufacturing</c:v>
                </c:pt>
                <c:pt idx="11">
                  <c:v>Real Estate</c:v>
                </c:pt>
                <c:pt idx="12">
                  <c:v>Retail</c:v>
                </c:pt>
                <c:pt idx="13">
                  <c:v>Services</c:v>
                </c:pt>
                <c:pt idx="14">
                  <c:v>Tech</c:v>
                </c:pt>
                <c:pt idx="15">
                  <c:v>Telecom</c:v>
                </c:pt>
              </c:strCache>
            </c:strRef>
          </c:cat>
          <c:val>
            <c:numRef>
              <c:f>Sheet2!$D$5:$D$21</c:f>
              <c:numCache>
                <c:formatCode>General</c:formatCode>
                <c:ptCount val="16"/>
                <c:pt idx="1">
                  <c:v>2</c:v>
                </c:pt>
                <c:pt idx="3">
                  <c:v>1</c:v>
                </c:pt>
                <c:pt idx="4">
                  <c:v>9</c:v>
                </c:pt>
                <c:pt idx="5">
                  <c:v>2</c:v>
                </c:pt>
                <c:pt idx="6">
                  <c:v>3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3</c:v>
                </c:pt>
                <c:pt idx="12">
                  <c:v>2</c:v>
                </c:pt>
                <c:pt idx="13">
                  <c:v>1</c:v>
                </c:pt>
                <c:pt idx="1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F1-254F-B0B6-81F11BDF51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0820735"/>
        <c:axId val="933560319"/>
      </c:barChart>
      <c:catAx>
        <c:axId val="920820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560319"/>
        <c:crosses val="autoZero"/>
        <c:auto val="1"/>
        <c:lblAlgn val="ctr"/>
        <c:lblOffset val="100"/>
        <c:noMultiLvlLbl val="0"/>
      </c:catAx>
      <c:valAx>
        <c:axId val="933560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820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812274</xdr:colOff>
      <xdr:row>5</xdr:row>
      <xdr:rowOff>117937</xdr:rowOff>
    </xdr:from>
    <xdr:to>
      <xdr:col>16</xdr:col>
      <xdr:colOff>419490</xdr:colOff>
      <xdr:row>17</xdr:row>
      <xdr:rowOff>139708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45DBCE-E7E7-9D98-6F18-1EFD7FACED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265206</xdr:colOff>
      <xdr:row>5</xdr:row>
      <xdr:rowOff>111312</xdr:rowOff>
    </xdr:from>
    <xdr:to>
      <xdr:col>10</xdr:col>
      <xdr:colOff>691030</xdr:colOff>
      <xdr:row>19</xdr:row>
      <xdr:rowOff>30629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88B61F-107D-8654-79F4-920B4F73F4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jith Balaji" refreshedDate="46113.963111689816" createdVersion="8" refreshedVersion="8" minRefreshableVersion="3" recordCount="82" xr:uid="{3825D654-11F6-694C-9933-571E2B876D6E}">
  <cacheSource type="worksheet">
    <worksheetSource ref="A1:J83" sheet="Sheet1"/>
  </cacheSource>
  <cacheFields count="10">
    <cacheField name="Company Name" numFmtId="0">
      <sharedItems count="80">
        <s v="Tata Technologies"/>
        <s v="LIC of India"/>
        <s v="IREDA"/>
        <s v="Bajaj Housing Finance"/>
        <s v="Delhivery"/>
        <s v="Mankind Pharma"/>
        <s v="Ola Electric"/>
        <s v="Adani Wilmar"/>
        <s v="JSW Infrastructure"/>
        <s v="Cello World"/>
        <s v="Bharti Hexacom"/>
        <s v="Mamaearth (Honasa)"/>
        <s v="FirstCry"/>
        <s v="Campus Activewear"/>
        <s v="Go Digit"/>
        <s v="Vedant Fashions"/>
        <s v="Rainbow Childrens"/>
        <s v="Tracxn Tech"/>
        <s v="Bikaji Foods"/>
        <s v="Global Health (Medanta)"/>
        <s v="Five Star Business"/>
        <s v="Keystone Realtors"/>
        <s v="Inox Green"/>
        <s v="Archean Chemical"/>
        <s v="Kaynes Technology"/>
        <s v="Dharmaj Crop"/>
        <s v="Sula Vineyards"/>
        <s v="KFin Tech"/>
        <s v="Elin Electronics"/>
        <s v="Radiant Cash"/>
        <s v="Sah Polymers"/>
        <s v="Divgi TorqTransfer"/>
        <s v="Global Surfaces"/>
        <s v="Udayshivakumar Infra"/>
        <s v="Avalon Tech"/>
        <s v="Nexus Select Trust"/>
        <s v="IKIO Lighting"/>
        <s v="ideaForge Tech"/>
        <s v="Cyient DLM"/>
        <s v="Senco Gold"/>
        <s v="Utkarsh SFB"/>
        <s v="Netweb Tech"/>
        <s v="Yatharth Hospital"/>
        <s v="SBFC Finance"/>
        <s v="Concord Biotech"/>
        <s v="TVS Supply Chain"/>
        <s v="Aeroflex Industries"/>
        <s v="Vishnu Prakash"/>
        <s v="Rishabh Instruments"/>
        <s v="EMS Limited"/>
        <s v="RR Kabel"/>
        <s v="Zaggle Prepaid"/>
        <s v="Updater Services"/>
        <s v="Plaza Wires"/>
        <s v="Valiant Labs"/>
        <s v="Blue Jet Health"/>
        <s v="ESAF SFB"/>
        <s v="Protean eGov"/>
        <s v="ASK Automotive"/>
        <s v="Fedbank Financial"/>
        <s v="Flair Writing"/>
        <s v="DOMS Industries"/>
        <s v="India Shelter"/>
        <s v="Inox CVA"/>
        <s v="Muthoot Microfin"/>
        <s v="Motisons Jewellers"/>
        <s v="Suraj Estate"/>
        <s v="Happy Forgings"/>
        <s v="RBZ Jewellers"/>
        <s v="Azad Engineering"/>
        <s v="Innova Captab"/>
        <s v="Jyoti CNC Auto"/>
        <s v="Medi Assist"/>
        <s v="Epack Durable"/>
        <s v="Nova AgriTech"/>
        <s v="Apeejay Surrendra"/>
        <s v="Rashi Peripherals"/>
        <s v="Capital SFB"/>
        <s v="Jana SFB"/>
        <s v="Vibhor Steel"/>
      </sharedItems>
    </cacheField>
    <cacheField name="Issue Year" numFmtId="0">
      <sharedItems containsSemiMixedTypes="0" containsString="0" containsNumber="1" containsInteger="1" minValue="2022" maxValue="2024"/>
    </cacheField>
    <cacheField name="Sector" numFmtId="0">
      <sharedItems count="16">
        <s v="Tech"/>
        <s v="Finance"/>
        <s v="Logistics"/>
        <s v="Healthcare"/>
        <s v="Auto"/>
        <s v="FMCG"/>
        <s v="Infrastructure"/>
        <s v="Manufacturing"/>
        <s v="Telecom"/>
        <s v="Retail"/>
        <s v="Real Estate"/>
        <s v="Energy"/>
        <s v="Chemicals"/>
        <s v="Agriculture"/>
        <s v="Services"/>
        <s v="Hospitality"/>
      </sharedItems>
    </cacheField>
    <cacheField name="Issue Size (Cr)" numFmtId="0">
      <sharedItems containsSemiMixedTypes="0" containsString="0" containsNumber="1" containsInteger="1" minValue="66" maxValue="21008"/>
    </cacheField>
    <cacheField name="QIB (x)" numFmtId="0">
      <sharedItems containsSemiMixedTypes="0" containsString="0" containsNumber="1" minValue="0" maxValue="228.9"/>
    </cacheField>
    <cacheField name="Retail (x)" numFmtId="0">
      <sharedItems containsSemiMixedTypes="0" containsString="0" containsNumber="1" minValue="0.1" maxValue="374.8"/>
    </cacheField>
    <cacheField name="Total Subscription (x)" numFmtId="0">
      <sharedItems containsSemiMixedTypes="0" containsString="0" containsNumber="1" minValue="0.5" maxValue="298.8"/>
    </cacheField>
    <cacheField name="GMP %" numFmtId="9">
      <sharedItems containsSemiMixedTypes="0" containsString="0" containsNumber="1" minValue="-0.05" maxValue="1"/>
    </cacheField>
    <cacheField name="Listing Return %" numFmtId="9">
      <sharedItems containsSemiMixedTypes="0" containsString="0" containsNumber="1" minValue="-0.09" maxValue="1.81"/>
    </cacheField>
    <cacheField name="Score" numFmtId="0">
      <sharedItems count="3">
        <s v="Strong"/>
        <s v="Weak"/>
        <s v="Moderat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2">
  <r>
    <x v="0"/>
    <n v="2023"/>
    <x v="0"/>
    <n v="3042"/>
    <n v="203.4"/>
    <n v="16.5"/>
    <n v="69.400000000000006"/>
    <n v="0.75"/>
    <n v="1.4"/>
    <x v="0"/>
  </r>
  <r>
    <x v="1"/>
    <n v="2022"/>
    <x v="1"/>
    <n v="21008"/>
    <n v="2.8"/>
    <n v="1.9"/>
    <n v="2.9"/>
    <n v="-0.05"/>
    <n v="-0.08"/>
    <x v="1"/>
  </r>
  <r>
    <x v="2"/>
    <n v="2023"/>
    <x v="1"/>
    <n v="2150"/>
    <n v="104.5"/>
    <n v="7.7"/>
    <n v="38.799999999999997"/>
    <n v="0.3"/>
    <n v="0.87"/>
    <x v="2"/>
  </r>
  <r>
    <x v="3"/>
    <n v="2024"/>
    <x v="1"/>
    <n v="6560"/>
    <n v="209.3"/>
    <n v="7.4"/>
    <n v="63.6"/>
    <n v="0.7"/>
    <n v="1.1399999999999999"/>
    <x v="0"/>
  </r>
  <r>
    <x v="4"/>
    <n v="2022"/>
    <x v="2"/>
    <n v="5235"/>
    <n v="2.2999999999999998"/>
    <n v="0.1"/>
    <n v="1.6"/>
    <n v="0.02"/>
    <n v="0.1"/>
    <x v="1"/>
  </r>
  <r>
    <x v="5"/>
    <n v="2023"/>
    <x v="3"/>
    <n v="4326"/>
    <n v="49.1"/>
    <n v="0.9"/>
    <n v="15.3"/>
    <n v="0.08"/>
    <n v="0.2"/>
    <x v="2"/>
  </r>
  <r>
    <x v="6"/>
    <n v="2024"/>
    <x v="4"/>
    <n v="6145"/>
    <n v="5.3"/>
    <n v="3.9"/>
    <n v="4.2"/>
    <n v="0"/>
    <n v="0.2"/>
    <x v="1"/>
  </r>
  <r>
    <x v="7"/>
    <n v="2022"/>
    <x v="5"/>
    <n v="3600"/>
    <n v="5.7"/>
    <n v="3.9"/>
    <n v="17.3"/>
    <n v="0.15"/>
    <n v="0.16"/>
    <x v="2"/>
  </r>
  <r>
    <x v="8"/>
    <n v="2023"/>
    <x v="6"/>
    <n v="2800"/>
    <n v="60.1"/>
    <n v="10.3"/>
    <n v="37.299999999999997"/>
    <n v="0.2"/>
    <n v="0.32"/>
    <x v="2"/>
  </r>
  <r>
    <x v="9"/>
    <n v="2023"/>
    <x v="7"/>
    <n v="1900"/>
    <n v="122.2"/>
    <n v="3"/>
    <n v="38.9"/>
    <n v="0.25"/>
    <n v="0.28000000000000003"/>
    <x v="2"/>
  </r>
  <r>
    <x v="10"/>
    <n v="2024"/>
    <x v="8"/>
    <n v="4275"/>
    <n v="48.5"/>
    <n v="2.8"/>
    <n v="29.8"/>
    <n v="0.12"/>
    <n v="0.32"/>
    <x v="2"/>
  </r>
  <r>
    <x v="11"/>
    <n v="2023"/>
    <x v="5"/>
    <n v="1701"/>
    <n v="11.5"/>
    <n v="1.3"/>
    <n v="7.6"/>
    <n v="0.03"/>
    <n v="0.04"/>
    <x v="1"/>
  </r>
  <r>
    <x v="12"/>
    <n v="2024"/>
    <x v="9"/>
    <n v="4193"/>
    <n v="19.3"/>
    <n v="2.2999999999999998"/>
    <n v="12.2"/>
    <n v="0.1"/>
    <n v="0.4"/>
    <x v="1"/>
  </r>
  <r>
    <x v="13"/>
    <n v="2022"/>
    <x v="9"/>
    <n v="1400"/>
    <n v="152"/>
    <n v="7.6"/>
    <n v="51.7"/>
    <n v="0.2"/>
    <n v="0.23"/>
    <x v="0"/>
  </r>
  <r>
    <x v="14"/>
    <n v="2024"/>
    <x v="1"/>
    <n v="2614"/>
    <n v="12.5"/>
    <n v="4.2"/>
    <n v="9.6"/>
    <n v="0.05"/>
    <n v="0.12"/>
    <x v="1"/>
  </r>
  <r>
    <x v="15"/>
    <n v="2022"/>
    <x v="9"/>
    <n v="3149"/>
    <n v="7.4"/>
    <n v="0.3"/>
    <n v="2.5"/>
    <n v="0"/>
    <n v="0.08"/>
    <x v="1"/>
  </r>
  <r>
    <x v="16"/>
    <n v="2022"/>
    <x v="3"/>
    <n v="1580"/>
    <n v="3.8"/>
    <n v="1.3"/>
    <n v="12.4"/>
    <n v="-0.05"/>
    <n v="-0.06"/>
    <x v="1"/>
  </r>
  <r>
    <x v="17"/>
    <n v="2022"/>
    <x v="0"/>
    <n v="309"/>
    <n v="1.6"/>
    <n v="4.8"/>
    <n v="2"/>
    <n v="0.05"/>
    <n v="0.16"/>
    <x v="1"/>
  </r>
  <r>
    <x v="18"/>
    <n v="2022"/>
    <x v="5"/>
    <n v="881"/>
    <n v="80.599999999999994"/>
    <n v="4.7"/>
    <n v="26.6"/>
    <n v="0.1"/>
    <n v="7.0000000000000007E-2"/>
    <x v="2"/>
  </r>
  <r>
    <x v="19"/>
    <n v="2022"/>
    <x v="3"/>
    <n v="2205"/>
    <n v="28.6"/>
    <n v="0.8"/>
    <n v="9.5"/>
    <n v="0.12"/>
    <n v="0.19"/>
    <x v="1"/>
  </r>
  <r>
    <x v="20"/>
    <n v="2022"/>
    <x v="1"/>
    <n v="1960"/>
    <n v="1.7"/>
    <n v="0.1"/>
    <n v="0.7"/>
    <n v="-0.02"/>
    <n v="0.05"/>
    <x v="1"/>
  </r>
  <r>
    <x v="21"/>
    <n v="2022"/>
    <x v="10"/>
    <n v="635"/>
    <n v="3.8"/>
    <n v="0.5"/>
    <n v="2"/>
    <n v="0.02"/>
    <n v="0.03"/>
    <x v="1"/>
  </r>
  <r>
    <x v="22"/>
    <n v="2022"/>
    <x v="11"/>
    <n v="740"/>
    <n v="1"/>
    <n v="4.7"/>
    <n v="1.5"/>
    <n v="-0.05"/>
    <n v="-0.09"/>
    <x v="1"/>
  </r>
  <r>
    <x v="23"/>
    <n v="2022"/>
    <x v="12"/>
    <n v="1462"/>
    <n v="58.7"/>
    <n v="9.9"/>
    <n v="32.200000000000003"/>
    <n v="0.15"/>
    <n v="0.1"/>
    <x v="2"/>
  </r>
  <r>
    <x v="24"/>
    <n v="2022"/>
    <x v="0"/>
    <n v="857"/>
    <n v="98.4"/>
    <n v="4"/>
    <n v="34.1"/>
    <n v="0.25"/>
    <n v="0.32"/>
    <x v="2"/>
  </r>
  <r>
    <x v="25"/>
    <n v="2022"/>
    <x v="13"/>
    <n v="251"/>
    <n v="48.2"/>
    <n v="21.5"/>
    <n v="35.4"/>
    <n v="0.1"/>
    <n v="0.12"/>
    <x v="2"/>
  </r>
  <r>
    <x v="26"/>
    <n v="2022"/>
    <x v="5"/>
    <n v="960"/>
    <n v="4.0999999999999996"/>
    <n v="1.6"/>
    <n v="2.2999999999999998"/>
    <n v="-0.02"/>
    <n v="0.01"/>
    <x v="1"/>
  </r>
  <r>
    <x v="27"/>
    <n v="2022"/>
    <x v="1"/>
    <n v="1500"/>
    <n v="4.0999999999999996"/>
    <n v="1.3"/>
    <n v="2.5"/>
    <n v="-0.01"/>
    <n v="-0.05"/>
    <x v="1"/>
  </r>
  <r>
    <x v="28"/>
    <n v="2022"/>
    <x v="7"/>
    <n v="475"/>
    <n v="4.5"/>
    <n v="2.1"/>
    <n v="3"/>
    <n v="-0.05"/>
    <n v="-0.01"/>
    <x v="1"/>
  </r>
  <r>
    <x v="29"/>
    <n v="2022"/>
    <x v="1"/>
    <n v="387"/>
    <n v="1"/>
    <n v="0.2"/>
    <n v="0.5"/>
    <n v="0"/>
    <n v="0.04"/>
    <x v="1"/>
  </r>
  <r>
    <x v="30"/>
    <n v="2023"/>
    <x v="7"/>
    <n v="66"/>
    <n v="2.4"/>
    <n v="39.700000000000003"/>
    <n v="17.399999999999999"/>
    <n v="0.1"/>
    <n v="0.3"/>
    <x v="2"/>
  </r>
  <r>
    <x v="31"/>
    <n v="2023"/>
    <x v="4"/>
    <n v="412"/>
    <n v="7.8"/>
    <n v="4.3"/>
    <n v="5.4"/>
    <n v="0.05"/>
    <n v="0.05"/>
    <x v="1"/>
  </r>
  <r>
    <x v="32"/>
    <n v="2023"/>
    <x v="7"/>
    <n v="154"/>
    <n v="8.9"/>
    <n v="5.0999999999999996"/>
    <n v="12.2"/>
    <n v="0.1"/>
    <n v="0.17"/>
    <x v="1"/>
  </r>
  <r>
    <x v="33"/>
    <n v="2023"/>
    <x v="6"/>
    <n v="66"/>
    <n v="40.4"/>
    <n v="14.1"/>
    <n v="30.6"/>
    <n v="0.2"/>
    <n v="-0.08"/>
    <x v="1"/>
  </r>
  <r>
    <x v="34"/>
    <n v="2023"/>
    <x v="0"/>
    <n v="865"/>
    <n v="3.7"/>
    <n v="0.8"/>
    <n v="2.2000000000000002"/>
    <n v="0.02"/>
    <n v="0.01"/>
    <x v="1"/>
  </r>
  <r>
    <x v="5"/>
    <n v="2023"/>
    <x v="3"/>
    <n v="4326"/>
    <n v="49.1"/>
    <n v="0.9"/>
    <n v="15.3"/>
    <n v="0.05"/>
    <n v="0.2"/>
    <x v="2"/>
  </r>
  <r>
    <x v="35"/>
    <n v="2023"/>
    <x v="10"/>
    <n v="3200"/>
    <n v="4.8"/>
    <n v="1.5"/>
    <n v="5.4"/>
    <n v="0.02"/>
    <n v="0.03"/>
    <x v="1"/>
  </r>
  <r>
    <x v="36"/>
    <n v="2023"/>
    <x v="7"/>
    <n v="606"/>
    <n v="163.5"/>
    <n v="13.8"/>
    <n v="66.3"/>
    <n v="0.35"/>
    <n v="0.37"/>
    <x v="0"/>
  </r>
  <r>
    <x v="37"/>
    <n v="2023"/>
    <x v="0"/>
    <n v="567"/>
    <n v="125.8"/>
    <n v="85.2"/>
    <n v="106"/>
    <n v="0.75"/>
    <n v="0.94"/>
    <x v="0"/>
  </r>
  <r>
    <x v="38"/>
    <n v="2023"/>
    <x v="0"/>
    <n v="592"/>
    <n v="90.4"/>
    <n v="49.2"/>
    <n v="67.3"/>
    <n v="0.5"/>
    <n v="0.51"/>
    <x v="0"/>
  </r>
  <r>
    <x v="39"/>
    <n v="2023"/>
    <x v="9"/>
    <n v="405"/>
    <n v="180.9"/>
    <n v="15.4"/>
    <n v="73.3"/>
    <n v="0.3"/>
    <n v="0.36"/>
    <x v="0"/>
  </r>
  <r>
    <x v="40"/>
    <n v="2023"/>
    <x v="1"/>
    <n v="500"/>
    <n v="124.8"/>
    <n v="72.099999999999994"/>
    <n v="101.9"/>
    <n v="0.6"/>
    <n v="0.92"/>
    <x v="0"/>
  </r>
  <r>
    <x v="41"/>
    <n v="2023"/>
    <x v="0"/>
    <n v="631"/>
    <n v="228.9"/>
    <n v="19.100000000000001"/>
    <n v="90.3"/>
    <n v="0.75"/>
    <n v="0.82"/>
    <x v="0"/>
  </r>
  <r>
    <x v="42"/>
    <n v="2023"/>
    <x v="3"/>
    <n v="686"/>
    <n v="85.1"/>
    <n v="8.3000000000000007"/>
    <n v="36.1"/>
    <n v="0.25"/>
    <n v="0.11"/>
    <x v="2"/>
  </r>
  <r>
    <x v="43"/>
    <n v="2023"/>
    <x v="1"/>
    <n v="1025"/>
    <n v="192.9"/>
    <n v="10.9"/>
    <n v="70.099999999999994"/>
    <n v="0.4"/>
    <n v="0.62"/>
    <x v="0"/>
  </r>
  <r>
    <x v="44"/>
    <n v="2023"/>
    <x v="3"/>
    <n v="1551"/>
    <n v="67.599999999999994"/>
    <n v="3.7"/>
    <n v="24.8"/>
    <n v="0.2"/>
    <n v="0.27"/>
    <x v="2"/>
  </r>
  <r>
    <x v="45"/>
    <n v="2023"/>
    <x v="2"/>
    <n v="880"/>
    <n v="1.3"/>
    <n v="7.6"/>
    <n v="2.7"/>
    <n v="0.02"/>
    <n v="0.05"/>
    <x v="1"/>
  </r>
  <r>
    <x v="46"/>
    <n v="2023"/>
    <x v="7"/>
    <n v="351"/>
    <n v="194.7"/>
    <n v="34.299999999999997"/>
    <n v="97.1"/>
    <n v="0.6"/>
    <n v="0.51"/>
    <x v="0"/>
  </r>
  <r>
    <x v="47"/>
    <n v="2023"/>
    <x v="6"/>
    <n v="308"/>
    <n v="171.6"/>
    <n v="32"/>
    <n v="87.8"/>
    <n v="0.5"/>
    <n v="0.47"/>
    <x v="0"/>
  </r>
  <r>
    <x v="48"/>
    <n v="2023"/>
    <x v="7"/>
    <n v="490"/>
    <n v="72.5"/>
    <n v="8.4"/>
    <n v="31.6"/>
    <n v="0.15"/>
    <n v="0.04"/>
    <x v="2"/>
  </r>
  <r>
    <x v="49"/>
    <n v="2023"/>
    <x v="6"/>
    <n v="321"/>
    <n v="153"/>
    <n v="29.7"/>
    <n v="75.2"/>
    <n v="0.45"/>
    <n v="0.33"/>
    <x v="0"/>
  </r>
  <r>
    <x v="50"/>
    <n v="2023"/>
    <x v="7"/>
    <n v="1964"/>
    <n v="52.2"/>
    <n v="2.1"/>
    <n v="18.600000000000001"/>
    <n v="0.1"/>
    <n v="0.14000000000000001"/>
    <x v="2"/>
  </r>
  <r>
    <x v="51"/>
    <n v="2023"/>
    <x v="0"/>
    <n v="392"/>
    <n v="16.7"/>
    <n v="5.9"/>
    <n v="12.5"/>
    <n v="0.05"/>
    <n v="0.16"/>
    <x v="1"/>
  </r>
  <r>
    <x v="52"/>
    <n v="2023"/>
    <x v="14"/>
    <n v="640"/>
    <n v="4.5"/>
    <n v="1.3"/>
    <n v="2.9"/>
    <n v="-0.02"/>
    <n v="-0.05"/>
    <x v="1"/>
  </r>
  <r>
    <x v="53"/>
    <n v="2023"/>
    <x v="7"/>
    <n v="71"/>
    <n v="42.8"/>
    <n v="374.8"/>
    <n v="160.9"/>
    <n v="0.4"/>
    <n v="0.4"/>
    <x v="0"/>
  </r>
  <r>
    <x v="54"/>
    <n v="2023"/>
    <x v="3"/>
    <n v="152"/>
    <n v="0"/>
    <n v="73.599999999999994"/>
    <n v="29.7"/>
    <n v="0.15"/>
    <n v="0.16"/>
    <x v="2"/>
  </r>
  <r>
    <x v="55"/>
    <n v="2023"/>
    <x v="3"/>
    <n v="840"/>
    <n v="13.7"/>
    <n v="2.2000000000000002"/>
    <n v="7.9"/>
    <n v="0.05"/>
    <n v="0.19"/>
    <x v="1"/>
  </r>
  <r>
    <x v="56"/>
    <n v="2023"/>
    <x v="1"/>
    <n v="463"/>
    <n v="173.5"/>
    <n v="16.899999999999999"/>
    <n v="73.099999999999994"/>
    <n v="0.3"/>
    <n v="0.15"/>
    <x v="2"/>
  </r>
  <r>
    <x v="57"/>
    <n v="2023"/>
    <x v="0"/>
    <n v="490"/>
    <n v="46.9"/>
    <n v="8.9"/>
    <n v="23.8"/>
    <n v="0.1"/>
    <n v="0.11"/>
    <x v="2"/>
  </r>
  <r>
    <x v="58"/>
    <n v="2023"/>
    <x v="4"/>
    <n v="834"/>
    <n v="142.4"/>
    <n v="5.7"/>
    <n v="51.1"/>
    <n v="0.15"/>
    <n v="0.08"/>
    <x v="2"/>
  </r>
  <r>
    <x v="2"/>
    <n v="2023"/>
    <x v="1"/>
    <n v="2150"/>
    <n v="104.5"/>
    <n v="7.7"/>
    <n v="38.799999999999997"/>
    <n v="0.35"/>
    <n v="0.87"/>
    <x v="2"/>
  </r>
  <r>
    <x v="59"/>
    <n v="2023"/>
    <x v="1"/>
    <n v="1092"/>
    <n v="3.5"/>
    <n v="1.8"/>
    <n v="2.2000000000000002"/>
    <n v="0"/>
    <n v="0.01"/>
    <x v="1"/>
  </r>
  <r>
    <x v="60"/>
    <n v="2023"/>
    <x v="7"/>
    <n v="593"/>
    <n v="115.6"/>
    <n v="13"/>
    <n v="46.6"/>
    <n v="0.2"/>
    <n v="0.65"/>
    <x v="2"/>
  </r>
  <r>
    <x v="61"/>
    <n v="2023"/>
    <x v="7"/>
    <n v="1200"/>
    <n v="115.9"/>
    <n v="69.599999999999994"/>
    <n v="93.5"/>
    <n v="0.65"/>
    <n v="0.77"/>
    <x v="0"/>
  </r>
  <r>
    <x v="62"/>
    <n v="2023"/>
    <x v="1"/>
    <n v="1200"/>
    <n v="89.7"/>
    <n v="9.9"/>
    <n v="36.700000000000003"/>
    <n v="0.25"/>
    <n v="0.25"/>
    <x v="2"/>
  </r>
  <r>
    <x v="63"/>
    <n v="2023"/>
    <x v="7"/>
    <n v="1459"/>
    <n v="147.80000000000001"/>
    <n v="15"/>
    <n v="61.2"/>
    <n v="0.7"/>
    <n v="0.43"/>
    <x v="0"/>
  </r>
  <r>
    <x v="64"/>
    <n v="2023"/>
    <x v="1"/>
    <n v="960"/>
    <n v="17.399999999999999"/>
    <n v="7.6"/>
    <n v="11.5"/>
    <n v="0.05"/>
    <n v="0.04"/>
    <x v="1"/>
  </r>
  <r>
    <x v="65"/>
    <n v="2023"/>
    <x v="9"/>
    <n v="151"/>
    <n v="157.4"/>
    <n v="122.2"/>
    <n v="159.6"/>
    <n v="1"/>
    <n v="0.98"/>
    <x v="0"/>
  </r>
  <r>
    <x v="66"/>
    <n v="2023"/>
    <x v="10"/>
    <n v="400"/>
    <n v="24.2"/>
    <n v="9.3000000000000007"/>
    <n v="15.6"/>
    <n v="0.05"/>
    <n v="-0.05"/>
    <x v="1"/>
  </r>
  <r>
    <x v="67"/>
    <n v="2023"/>
    <x v="7"/>
    <n v="1008"/>
    <n v="220.4"/>
    <n v="15"/>
    <n v="82"/>
    <n v="0.4"/>
    <n v="0.17"/>
    <x v="2"/>
  </r>
  <r>
    <x v="68"/>
    <n v="2023"/>
    <x v="9"/>
    <n v="100"/>
    <n v="13.4"/>
    <n v="24.7"/>
    <n v="16.8"/>
    <n v="0"/>
    <n v="0"/>
    <x v="2"/>
  </r>
  <r>
    <x v="69"/>
    <n v="2023"/>
    <x v="7"/>
    <n v="740"/>
    <n v="179.6"/>
    <n v="23.7"/>
    <n v="80.599999999999994"/>
    <n v="0.5"/>
    <n v="0.28999999999999998"/>
    <x v="0"/>
  </r>
  <r>
    <x v="70"/>
    <n v="2023"/>
    <x v="3"/>
    <n v="570"/>
    <n v="116.9"/>
    <n v="17.100000000000001"/>
    <n v="55.2"/>
    <n v="0.2"/>
    <n v="0.21"/>
    <x v="0"/>
  </r>
  <r>
    <x v="71"/>
    <n v="2024"/>
    <x v="7"/>
    <n v="1000"/>
    <n v="44.1"/>
    <n v="26.1"/>
    <n v="38.5"/>
    <n v="0.15"/>
    <n v="0.3"/>
    <x v="2"/>
  </r>
  <r>
    <x v="72"/>
    <n v="2024"/>
    <x v="3"/>
    <n v="1171"/>
    <n v="40.1"/>
    <n v="3.1"/>
    <n v="16.2"/>
    <n v="0.1"/>
    <n v="0.11"/>
    <x v="2"/>
  </r>
  <r>
    <x v="73"/>
    <n v="2024"/>
    <x v="7"/>
    <n v="640"/>
    <n v="25.5"/>
    <n v="6.2"/>
    <n v="16.3"/>
    <n v="0.05"/>
    <n v="-0.04"/>
    <x v="1"/>
  </r>
  <r>
    <x v="74"/>
    <n v="2024"/>
    <x v="13"/>
    <n v="143"/>
    <n v="79.3"/>
    <n v="77.099999999999994"/>
    <n v="109.3"/>
    <n v="0.5"/>
    <n v="0.34"/>
    <x v="0"/>
  </r>
  <r>
    <x v="75"/>
    <n v="2024"/>
    <x v="15"/>
    <n v="920"/>
    <n v="25.6"/>
    <n v="9.3000000000000007"/>
    <n v="24.4"/>
    <n v="0.1"/>
    <n v="0.02"/>
    <x v="2"/>
  </r>
  <r>
    <x v="76"/>
    <n v="2024"/>
    <x v="0"/>
    <n v="600"/>
    <n v="143.6"/>
    <n v="10.4"/>
    <n v="59.7"/>
    <n v="0.2"/>
    <n v="0.09"/>
    <x v="2"/>
  </r>
  <r>
    <x v="77"/>
    <n v="2024"/>
    <x v="1"/>
    <n v="523"/>
    <n v="6.6"/>
    <n v="2.4"/>
    <n v="4"/>
    <n v="0"/>
    <n v="-0.08"/>
    <x v="1"/>
  </r>
  <r>
    <x v="78"/>
    <n v="2024"/>
    <x v="1"/>
    <n v="570"/>
    <n v="38.700000000000003"/>
    <n v="5.4"/>
    <n v="18.5"/>
    <n v="0.15"/>
    <n v="-0.04"/>
    <x v="1"/>
  </r>
  <r>
    <x v="79"/>
    <n v="2024"/>
    <x v="7"/>
    <n v="72"/>
    <n v="191.4"/>
    <n v="188.1"/>
    <n v="298.8"/>
    <n v="1"/>
    <n v="1.8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A8A37A-5CDC-1642-A88E-A15C929F0490}" name="PivotTable2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E21" firstHeaderRow="1" firstDataRow="2" firstDataCol="1"/>
  <pivotFields count="10">
    <pivotField dataField="1" showAll="0">
      <items count="81">
        <item x="7"/>
        <item x="46"/>
        <item x="75"/>
        <item x="23"/>
        <item x="58"/>
        <item x="34"/>
        <item x="69"/>
        <item x="3"/>
        <item x="10"/>
        <item x="18"/>
        <item x="55"/>
        <item x="13"/>
        <item x="77"/>
        <item x="9"/>
        <item x="44"/>
        <item x="38"/>
        <item x="4"/>
        <item x="25"/>
        <item x="31"/>
        <item x="61"/>
        <item x="28"/>
        <item x="49"/>
        <item x="73"/>
        <item x="56"/>
        <item x="59"/>
        <item x="12"/>
        <item x="20"/>
        <item x="60"/>
        <item x="19"/>
        <item x="32"/>
        <item x="14"/>
        <item x="67"/>
        <item x="37"/>
        <item x="36"/>
        <item x="62"/>
        <item x="70"/>
        <item x="63"/>
        <item x="22"/>
        <item x="2"/>
        <item x="78"/>
        <item x="8"/>
        <item x="71"/>
        <item x="24"/>
        <item x="21"/>
        <item x="27"/>
        <item x="1"/>
        <item x="11"/>
        <item x="5"/>
        <item x="72"/>
        <item x="65"/>
        <item x="64"/>
        <item x="41"/>
        <item x="35"/>
        <item x="74"/>
        <item x="6"/>
        <item x="53"/>
        <item x="57"/>
        <item x="29"/>
        <item x="16"/>
        <item x="76"/>
        <item x="68"/>
        <item x="48"/>
        <item x="50"/>
        <item x="30"/>
        <item x="43"/>
        <item x="39"/>
        <item x="26"/>
        <item x="66"/>
        <item x="0"/>
        <item x="17"/>
        <item x="45"/>
        <item x="33"/>
        <item x="52"/>
        <item x="40"/>
        <item x="54"/>
        <item x="15"/>
        <item x="79"/>
        <item x="47"/>
        <item x="42"/>
        <item x="51"/>
        <item t="default"/>
      </items>
    </pivotField>
    <pivotField showAll="0"/>
    <pivotField axis="axisRow" showAll="0">
      <items count="17">
        <item x="13"/>
        <item x="4"/>
        <item x="12"/>
        <item x="11"/>
        <item x="1"/>
        <item x="5"/>
        <item x="3"/>
        <item x="15"/>
        <item x="6"/>
        <item x="2"/>
        <item x="7"/>
        <item x="10"/>
        <item x="9"/>
        <item x="14"/>
        <item x="0"/>
        <item x="8"/>
        <item t="default"/>
      </items>
    </pivotField>
    <pivotField showAll="0"/>
    <pivotField showAll="0"/>
    <pivotField showAll="0"/>
    <pivotField showAll="0"/>
    <pivotField numFmtId="9" showAll="0"/>
    <pivotField numFmtId="9" showAll="0"/>
    <pivotField axis="axisCol" showAll="0">
      <items count="4">
        <item x="2"/>
        <item x="0"/>
        <item x="1"/>
        <item t="default"/>
      </items>
    </pivotField>
  </pivotFields>
  <rowFields count="1">
    <field x="2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Count of Company Name" fld="0" subtotal="count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44317-61E3-6445-8925-C8A3BCC6ABC1}">
  <dimension ref="A1:J83"/>
  <sheetViews>
    <sheetView tabSelected="1" zoomScale="107" workbookViewId="0">
      <selection activeCell="I17" sqref="I17"/>
    </sheetView>
  </sheetViews>
  <sheetFormatPr baseColWidth="10" defaultRowHeight="16" x14ac:dyDescent="0.2"/>
  <cols>
    <col min="1" max="1" width="21.5" bestFit="1" customWidth="1"/>
    <col min="3" max="3" width="12.83203125" bestFit="1" customWidth="1"/>
    <col min="4" max="4" width="12.6640625" bestFit="1" customWidth="1"/>
    <col min="5" max="5" width="6.6640625" bestFit="1" customWidth="1"/>
    <col min="6" max="6" width="8.5" bestFit="1" customWidth="1"/>
    <col min="7" max="7" width="18.33203125" bestFit="1" customWidth="1"/>
    <col min="8" max="8" width="6.83203125" style="1" bestFit="1" customWidth="1"/>
    <col min="9" max="9" width="14.1640625" style="1" bestFit="1" customWidth="1"/>
    <col min="10" max="10" width="12.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105</v>
      </c>
    </row>
    <row r="2" spans="1:10" ht="18" x14ac:dyDescent="0.2">
      <c r="A2" t="s">
        <v>9</v>
      </c>
      <c r="B2">
        <v>2023</v>
      </c>
      <c r="C2" t="s">
        <v>10</v>
      </c>
      <c r="D2">
        <v>3042</v>
      </c>
      <c r="E2">
        <v>203.4</v>
      </c>
      <c r="F2">
        <v>16.5</v>
      </c>
      <c r="G2">
        <v>69.400000000000006</v>
      </c>
      <c r="H2" s="1">
        <v>0.75</v>
      </c>
      <c r="I2" s="1">
        <v>1.4</v>
      </c>
      <c r="J2" s="2" t="str">
        <f>IF(AND(G2&gt;50, I2&gt;0.2), "Strong", IF(OR(G2&lt;15, I2&lt;0), "Weak", "Moderate"))</f>
        <v>Strong</v>
      </c>
    </row>
    <row r="3" spans="1:10" ht="18" x14ac:dyDescent="0.2">
      <c r="A3" t="s">
        <v>11</v>
      </c>
      <c r="B3">
        <v>2022</v>
      </c>
      <c r="C3" t="s">
        <v>12</v>
      </c>
      <c r="D3">
        <v>21008</v>
      </c>
      <c r="E3">
        <v>2.8</v>
      </c>
      <c r="F3">
        <v>1.9</v>
      </c>
      <c r="G3">
        <v>2.9</v>
      </c>
      <c r="H3" s="1">
        <v>-0.05</v>
      </c>
      <c r="I3" s="1">
        <v>-0.08</v>
      </c>
      <c r="J3" s="2" t="str">
        <f t="shared" ref="J3:J66" si="0">IF(AND(G3&gt;50, I3&gt;0.2), "Strong", IF(OR(G3&lt;15, I3&lt;0), "Weak", "Moderate"))</f>
        <v>Weak</v>
      </c>
    </row>
    <row r="4" spans="1:10" ht="18" x14ac:dyDescent="0.2">
      <c r="A4" t="s">
        <v>13</v>
      </c>
      <c r="B4">
        <v>2023</v>
      </c>
      <c r="C4" t="s">
        <v>12</v>
      </c>
      <c r="D4">
        <v>2150</v>
      </c>
      <c r="E4">
        <v>104.5</v>
      </c>
      <c r="F4">
        <v>7.7</v>
      </c>
      <c r="G4">
        <v>38.799999999999997</v>
      </c>
      <c r="H4" s="1">
        <v>0.3</v>
      </c>
      <c r="I4" s="1">
        <v>0.87</v>
      </c>
      <c r="J4" s="2" t="str">
        <f t="shared" si="0"/>
        <v>Moderate</v>
      </c>
    </row>
    <row r="5" spans="1:10" ht="18" x14ac:dyDescent="0.2">
      <c r="A5" t="s">
        <v>14</v>
      </c>
      <c r="B5">
        <v>2024</v>
      </c>
      <c r="C5" t="s">
        <v>12</v>
      </c>
      <c r="D5">
        <v>6560</v>
      </c>
      <c r="E5">
        <v>209.3</v>
      </c>
      <c r="F5">
        <v>7.4</v>
      </c>
      <c r="G5">
        <v>63.6</v>
      </c>
      <c r="H5" s="1">
        <v>0.7</v>
      </c>
      <c r="I5" s="1">
        <v>1.1399999999999999</v>
      </c>
      <c r="J5" s="2" t="str">
        <f t="shared" si="0"/>
        <v>Strong</v>
      </c>
    </row>
    <row r="6" spans="1:10" ht="18" x14ac:dyDescent="0.2">
      <c r="A6" t="s">
        <v>15</v>
      </c>
      <c r="B6">
        <v>2022</v>
      </c>
      <c r="C6" t="s">
        <v>16</v>
      </c>
      <c r="D6">
        <v>5235</v>
      </c>
      <c r="E6">
        <v>2.2999999999999998</v>
      </c>
      <c r="F6">
        <v>0.1</v>
      </c>
      <c r="G6">
        <v>1.6</v>
      </c>
      <c r="H6" s="1">
        <v>0.02</v>
      </c>
      <c r="I6" s="1">
        <v>0.1</v>
      </c>
      <c r="J6" s="2" t="str">
        <f t="shared" si="0"/>
        <v>Weak</v>
      </c>
    </row>
    <row r="7" spans="1:10" ht="18" x14ac:dyDescent="0.2">
      <c r="A7" t="s">
        <v>17</v>
      </c>
      <c r="B7">
        <v>2023</v>
      </c>
      <c r="C7" t="s">
        <v>18</v>
      </c>
      <c r="D7">
        <v>4326</v>
      </c>
      <c r="E7">
        <v>49.1</v>
      </c>
      <c r="F7">
        <v>0.9</v>
      </c>
      <c r="G7">
        <v>15.3</v>
      </c>
      <c r="H7" s="1">
        <v>0.08</v>
      </c>
      <c r="I7" s="1">
        <v>0.2</v>
      </c>
      <c r="J7" s="2" t="str">
        <f t="shared" si="0"/>
        <v>Moderate</v>
      </c>
    </row>
    <row r="8" spans="1:10" ht="18" x14ac:dyDescent="0.2">
      <c r="A8" t="s">
        <v>19</v>
      </c>
      <c r="B8">
        <v>2024</v>
      </c>
      <c r="C8" t="s">
        <v>20</v>
      </c>
      <c r="D8">
        <v>6145</v>
      </c>
      <c r="E8">
        <v>5.3</v>
      </c>
      <c r="F8">
        <v>3.9</v>
      </c>
      <c r="G8">
        <v>4.2</v>
      </c>
      <c r="H8" s="1">
        <v>0</v>
      </c>
      <c r="I8" s="1">
        <v>0.2</v>
      </c>
      <c r="J8" s="2" t="str">
        <f t="shared" si="0"/>
        <v>Weak</v>
      </c>
    </row>
    <row r="9" spans="1:10" ht="18" x14ac:dyDescent="0.2">
      <c r="A9" t="s">
        <v>21</v>
      </c>
      <c r="B9">
        <v>2022</v>
      </c>
      <c r="C9" t="s">
        <v>22</v>
      </c>
      <c r="D9">
        <v>3600</v>
      </c>
      <c r="E9">
        <v>5.7</v>
      </c>
      <c r="F9">
        <v>3.9</v>
      </c>
      <c r="G9">
        <v>17.3</v>
      </c>
      <c r="H9" s="1">
        <v>0.15</v>
      </c>
      <c r="I9" s="1">
        <v>0.16</v>
      </c>
      <c r="J9" s="2" t="str">
        <f t="shared" si="0"/>
        <v>Moderate</v>
      </c>
    </row>
    <row r="10" spans="1:10" ht="18" x14ac:dyDescent="0.2">
      <c r="A10" t="s">
        <v>23</v>
      </c>
      <c r="B10">
        <v>2023</v>
      </c>
      <c r="C10" t="s">
        <v>24</v>
      </c>
      <c r="D10">
        <v>2800</v>
      </c>
      <c r="E10">
        <v>60.1</v>
      </c>
      <c r="F10">
        <v>10.3</v>
      </c>
      <c r="G10">
        <v>37.299999999999997</v>
      </c>
      <c r="H10" s="1">
        <v>0.2</v>
      </c>
      <c r="I10" s="1">
        <v>0.32</v>
      </c>
      <c r="J10" s="2" t="str">
        <f t="shared" si="0"/>
        <v>Moderate</v>
      </c>
    </row>
    <row r="11" spans="1:10" ht="18" x14ac:dyDescent="0.2">
      <c r="A11" t="s">
        <v>25</v>
      </c>
      <c r="B11">
        <v>2023</v>
      </c>
      <c r="C11" t="s">
        <v>26</v>
      </c>
      <c r="D11">
        <v>1900</v>
      </c>
      <c r="E11">
        <v>122.2</v>
      </c>
      <c r="F11">
        <v>3</v>
      </c>
      <c r="G11">
        <v>38.9</v>
      </c>
      <c r="H11" s="1">
        <v>0.25</v>
      </c>
      <c r="I11" s="1">
        <v>0.28000000000000003</v>
      </c>
      <c r="J11" s="2" t="str">
        <f t="shared" si="0"/>
        <v>Moderate</v>
      </c>
    </row>
    <row r="12" spans="1:10" ht="18" x14ac:dyDescent="0.2">
      <c r="A12" t="s">
        <v>27</v>
      </c>
      <c r="B12">
        <v>2024</v>
      </c>
      <c r="C12" t="s">
        <v>28</v>
      </c>
      <c r="D12">
        <v>4275</v>
      </c>
      <c r="E12">
        <v>48.5</v>
      </c>
      <c r="F12">
        <v>2.8</v>
      </c>
      <c r="G12">
        <v>29.8</v>
      </c>
      <c r="H12" s="1">
        <v>0.12</v>
      </c>
      <c r="I12" s="1">
        <v>0.32</v>
      </c>
      <c r="J12" s="2" t="str">
        <f t="shared" si="0"/>
        <v>Moderate</v>
      </c>
    </row>
    <row r="13" spans="1:10" ht="18" x14ac:dyDescent="0.2">
      <c r="A13" t="s">
        <v>29</v>
      </c>
      <c r="B13">
        <v>2023</v>
      </c>
      <c r="C13" t="s">
        <v>22</v>
      </c>
      <c r="D13">
        <v>1701</v>
      </c>
      <c r="E13">
        <v>11.5</v>
      </c>
      <c r="F13">
        <v>1.3</v>
      </c>
      <c r="G13">
        <v>7.6</v>
      </c>
      <c r="H13" s="1">
        <v>0.03</v>
      </c>
      <c r="I13" s="1">
        <v>0.04</v>
      </c>
      <c r="J13" s="2" t="str">
        <f t="shared" si="0"/>
        <v>Weak</v>
      </c>
    </row>
    <row r="14" spans="1:10" ht="18" x14ac:dyDescent="0.2">
      <c r="A14" t="s">
        <v>30</v>
      </c>
      <c r="B14">
        <v>2024</v>
      </c>
      <c r="C14" t="s">
        <v>31</v>
      </c>
      <c r="D14">
        <v>4193</v>
      </c>
      <c r="E14">
        <v>19.3</v>
      </c>
      <c r="F14">
        <v>2.2999999999999998</v>
      </c>
      <c r="G14">
        <v>12.2</v>
      </c>
      <c r="H14" s="1">
        <v>0.1</v>
      </c>
      <c r="I14" s="1">
        <v>0.4</v>
      </c>
      <c r="J14" s="2" t="str">
        <f t="shared" si="0"/>
        <v>Weak</v>
      </c>
    </row>
    <row r="15" spans="1:10" ht="18" x14ac:dyDescent="0.2">
      <c r="A15" t="s">
        <v>32</v>
      </c>
      <c r="B15">
        <v>2022</v>
      </c>
      <c r="C15" t="s">
        <v>31</v>
      </c>
      <c r="D15">
        <v>1400</v>
      </c>
      <c r="E15">
        <v>152</v>
      </c>
      <c r="F15">
        <v>7.6</v>
      </c>
      <c r="G15">
        <v>51.7</v>
      </c>
      <c r="H15" s="1">
        <v>0.2</v>
      </c>
      <c r="I15" s="1">
        <v>0.23</v>
      </c>
      <c r="J15" s="2" t="str">
        <f t="shared" si="0"/>
        <v>Strong</v>
      </c>
    </row>
    <row r="16" spans="1:10" ht="18" x14ac:dyDescent="0.2">
      <c r="A16" t="s">
        <v>33</v>
      </c>
      <c r="B16">
        <v>2024</v>
      </c>
      <c r="C16" t="s">
        <v>12</v>
      </c>
      <c r="D16">
        <v>2614</v>
      </c>
      <c r="E16">
        <v>12.5</v>
      </c>
      <c r="F16">
        <v>4.2</v>
      </c>
      <c r="G16">
        <v>9.6</v>
      </c>
      <c r="H16" s="1">
        <v>0.05</v>
      </c>
      <c r="I16" s="1">
        <v>0.12</v>
      </c>
      <c r="J16" s="2" t="str">
        <f t="shared" si="0"/>
        <v>Weak</v>
      </c>
    </row>
    <row r="17" spans="1:10" ht="18" x14ac:dyDescent="0.2">
      <c r="A17" t="s">
        <v>34</v>
      </c>
      <c r="B17">
        <v>2022</v>
      </c>
      <c r="C17" t="s">
        <v>31</v>
      </c>
      <c r="D17">
        <v>3149</v>
      </c>
      <c r="E17">
        <v>7.4</v>
      </c>
      <c r="F17">
        <v>0.3</v>
      </c>
      <c r="G17">
        <v>2.5</v>
      </c>
      <c r="H17" s="1">
        <v>0</v>
      </c>
      <c r="I17" s="1">
        <v>0.08</v>
      </c>
      <c r="J17" s="2" t="str">
        <f t="shared" si="0"/>
        <v>Weak</v>
      </c>
    </row>
    <row r="18" spans="1:10" ht="18" x14ac:dyDescent="0.2">
      <c r="A18" t="s">
        <v>35</v>
      </c>
      <c r="B18">
        <v>2022</v>
      </c>
      <c r="C18" t="s">
        <v>18</v>
      </c>
      <c r="D18">
        <v>1580</v>
      </c>
      <c r="E18">
        <v>3.8</v>
      </c>
      <c r="F18">
        <v>1.3</v>
      </c>
      <c r="G18">
        <v>12.4</v>
      </c>
      <c r="H18" s="1">
        <v>-0.05</v>
      </c>
      <c r="I18" s="1">
        <v>-0.06</v>
      </c>
      <c r="J18" s="2" t="str">
        <f t="shared" si="0"/>
        <v>Weak</v>
      </c>
    </row>
    <row r="19" spans="1:10" ht="18" x14ac:dyDescent="0.2">
      <c r="A19" t="s">
        <v>36</v>
      </c>
      <c r="B19">
        <v>2022</v>
      </c>
      <c r="C19" t="s">
        <v>10</v>
      </c>
      <c r="D19">
        <v>309</v>
      </c>
      <c r="E19">
        <v>1.6</v>
      </c>
      <c r="F19">
        <v>4.8</v>
      </c>
      <c r="G19">
        <v>2</v>
      </c>
      <c r="H19" s="1">
        <v>0.05</v>
      </c>
      <c r="I19" s="1">
        <v>0.16</v>
      </c>
      <c r="J19" s="2" t="str">
        <f t="shared" si="0"/>
        <v>Weak</v>
      </c>
    </row>
    <row r="20" spans="1:10" ht="18" x14ac:dyDescent="0.2">
      <c r="A20" t="s">
        <v>37</v>
      </c>
      <c r="B20">
        <v>2022</v>
      </c>
      <c r="C20" t="s">
        <v>22</v>
      </c>
      <c r="D20">
        <v>881</v>
      </c>
      <c r="E20">
        <v>80.599999999999994</v>
      </c>
      <c r="F20">
        <v>4.7</v>
      </c>
      <c r="G20">
        <v>26.6</v>
      </c>
      <c r="H20" s="1">
        <v>0.1</v>
      </c>
      <c r="I20" s="1">
        <v>7.0000000000000007E-2</v>
      </c>
      <c r="J20" s="2" t="str">
        <f t="shared" si="0"/>
        <v>Moderate</v>
      </c>
    </row>
    <row r="21" spans="1:10" ht="18" x14ac:dyDescent="0.2">
      <c r="A21" t="s">
        <v>38</v>
      </c>
      <c r="B21">
        <v>2022</v>
      </c>
      <c r="C21" t="s">
        <v>18</v>
      </c>
      <c r="D21">
        <v>2205</v>
      </c>
      <c r="E21">
        <v>28.6</v>
      </c>
      <c r="F21">
        <v>0.8</v>
      </c>
      <c r="G21">
        <v>9.5</v>
      </c>
      <c r="H21" s="1">
        <v>0.12</v>
      </c>
      <c r="I21" s="1">
        <v>0.19</v>
      </c>
      <c r="J21" s="2" t="str">
        <f t="shared" si="0"/>
        <v>Weak</v>
      </c>
    </row>
    <row r="22" spans="1:10" ht="18" x14ac:dyDescent="0.2">
      <c r="A22" t="s">
        <v>39</v>
      </c>
      <c r="B22">
        <v>2022</v>
      </c>
      <c r="C22" t="s">
        <v>12</v>
      </c>
      <c r="D22">
        <v>1960</v>
      </c>
      <c r="E22">
        <v>1.7</v>
      </c>
      <c r="F22">
        <v>0.1</v>
      </c>
      <c r="G22">
        <v>0.7</v>
      </c>
      <c r="H22" s="1">
        <v>-0.02</v>
      </c>
      <c r="I22" s="1">
        <v>0.05</v>
      </c>
      <c r="J22" s="2" t="str">
        <f t="shared" si="0"/>
        <v>Weak</v>
      </c>
    </row>
    <row r="23" spans="1:10" ht="18" x14ac:dyDescent="0.2">
      <c r="A23" t="s">
        <v>40</v>
      </c>
      <c r="B23">
        <v>2022</v>
      </c>
      <c r="C23" t="s">
        <v>41</v>
      </c>
      <c r="D23">
        <v>635</v>
      </c>
      <c r="E23">
        <v>3.8</v>
      </c>
      <c r="F23">
        <v>0.5</v>
      </c>
      <c r="G23">
        <v>2</v>
      </c>
      <c r="H23" s="1">
        <v>0.02</v>
      </c>
      <c r="I23" s="1">
        <v>0.03</v>
      </c>
      <c r="J23" s="2" t="str">
        <f t="shared" si="0"/>
        <v>Weak</v>
      </c>
    </row>
    <row r="24" spans="1:10" ht="18" x14ac:dyDescent="0.2">
      <c r="A24" t="s">
        <v>42</v>
      </c>
      <c r="B24">
        <v>2022</v>
      </c>
      <c r="C24" t="s">
        <v>43</v>
      </c>
      <c r="D24">
        <v>740</v>
      </c>
      <c r="E24">
        <v>1</v>
      </c>
      <c r="F24">
        <v>4.7</v>
      </c>
      <c r="G24">
        <v>1.5</v>
      </c>
      <c r="H24" s="1">
        <v>-0.05</v>
      </c>
      <c r="I24" s="1">
        <v>-0.09</v>
      </c>
      <c r="J24" s="2" t="str">
        <f t="shared" si="0"/>
        <v>Weak</v>
      </c>
    </row>
    <row r="25" spans="1:10" ht="18" x14ac:dyDescent="0.2">
      <c r="A25" t="s">
        <v>44</v>
      </c>
      <c r="B25">
        <v>2022</v>
      </c>
      <c r="C25" t="s">
        <v>45</v>
      </c>
      <c r="D25">
        <v>1462</v>
      </c>
      <c r="E25">
        <v>58.7</v>
      </c>
      <c r="F25">
        <v>9.9</v>
      </c>
      <c r="G25">
        <v>32.200000000000003</v>
      </c>
      <c r="H25" s="1">
        <v>0.15</v>
      </c>
      <c r="I25" s="1">
        <v>0.1</v>
      </c>
      <c r="J25" s="2" t="str">
        <f t="shared" si="0"/>
        <v>Moderate</v>
      </c>
    </row>
    <row r="26" spans="1:10" ht="18" x14ac:dyDescent="0.2">
      <c r="A26" t="s">
        <v>46</v>
      </c>
      <c r="B26">
        <v>2022</v>
      </c>
      <c r="C26" t="s">
        <v>10</v>
      </c>
      <c r="D26">
        <v>857</v>
      </c>
      <c r="E26">
        <v>98.4</v>
      </c>
      <c r="F26">
        <v>4</v>
      </c>
      <c r="G26">
        <v>34.1</v>
      </c>
      <c r="H26" s="1">
        <v>0.25</v>
      </c>
      <c r="I26" s="1">
        <v>0.32</v>
      </c>
      <c r="J26" s="2" t="str">
        <f t="shared" si="0"/>
        <v>Moderate</v>
      </c>
    </row>
    <row r="27" spans="1:10" ht="18" x14ac:dyDescent="0.2">
      <c r="A27" t="s">
        <v>47</v>
      </c>
      <c r="B27">
        <v>2022</v>
      </c>
      <c r="C27" t="s">
        <v>48</v>
      </c>
      <c r="D27">
        <v>251</v>
      </c>
      <c r="E27">
        <v>48.2</v>
      </c>
      <c r="F27">
        <v>21.5</v>
      </c>
      <c r="G27">
        <v>35.4</v>
      </c>
      <c r="H27" s="1">
        <v>0.1</v>
      </c>
      <c r="I27" s="1">
        <v>0.12</v>
      </c>
      <c r="J27" s="2" t="str">
        <f t="shared" si="0"/>
        <v>Moderate</v>
      </c>
    </row>
    <row r="28" spans="1:10" ht="18" x14ac:dyDescent="0.2">
      <c r="A28" t="s">
        <v>49</v>
      </c>
      <c r="B28">
        <v>2022</v>
      </c>
      <c r="C28" t="s">
        <v>22</v>
      </c>
      <c r="D28">
        <v>960</v>
      </c>
      <c r="E28">
        <v>4.0999999999999996</v>
      </c>
      <c r="F28">
        <v>1.6</v>
      </c>
      <c r="G28">
        <v>2.2999999999999998</v>
      </c>
      <c r="H28" s="1">
        <v>-0.02</v>
      </c>
      <c r="I28" s="1">
        <v>0.01</v>
      </c>
      <c r="J28" s="2" t="str">
        <f t="shared" si="0"/>
        <v>Weak</v>
      </c>
    </row>
    <row r="29" spans="1:10" ht="18" x14ac:dyDescent="0.2">
      <c r="A29" t="s">
        <v>50</v>
      </c>
      <c r="B29">
        <v>2022</v>
      </c>
      <c r="C29" t="s">
        <v>12</v>
      </c>
      <c r="D29">
        <v>1500</v>
      </c>
      <c r="E29">
        <v>4.0999999999999996</v>
      </c>
      <c r="F29">
        <v>1.3</v>
      </c>
      <c r="G29">
        <v>2.5</v>
      </c>
      <c r="H29" s="1">
        <v>-0.01</v>
      </c>
      <c r="I29" s="1">
        <v>-0.05</v>
      </c>
      <c r="J29" s="2" t="str">
        <f t="shared" si="0"/>
        <v>Weak</v>
      </c>
    </row>
    <row r="30" spans="1:10" ht="18" x14ac:dyDescent="0.2">
      <c r="A30" t="s">
        <v>51</v>
      </c>
      <c r="B30">
        <v>2022</v>
      </c>
      <c r="C30" t="s">
        <v>26</v>
      </c>
      <c r="D30">
        <v>475</v>
      </c>
      <c r="E30">
        <v>4.5</v>
      </c>
      <c r="F30">
        <v>2.1</v>
      </c>
      <c r="G30">
        <v>3</v>
      </c>
      <c r="H30" s="1">
        <v>-0.05</v>
      </c>
      <c r="I30" s="1">
        <v>-0.01</v>
      </c>
      <c r="J30" s="2" t="str">
        <f t="shared" si="0"/>
        <v>Weak</v>
      </c>
    </row>
    <row r="31" spans="1:10" ht="18" x14ac:dyDescent="0.2">
      <c r="A31" t="s">
        <v>52</v>
      </c>
      <c r="B31">
        <v>2022</v>
      </c>
      <c r="C31" t="s">
        <v>12</v>
      </c>
      <c r="D31">
        <v>387</v>
      </c>
      <c r="E31">
        <v>1</v>
      </c>
      <c r="F31">
        <v>0.2</v>
      </c>
      <c r="G31">
        <v>0.5</v>
      </c>
      <c r="H31" s="1">
        <v>0</v>
      </c>
      <c r="I31" s="1">
        <v>0.04</v>
      </c>
      <c r="J31" s="2" t="str">
        <f t="shared" si="0"/>
        <v>Weak</v>
      </c>
    </row>
    <row r="32" spans="1:10" ht="18" x14ac:dyDescent="0.2">
      <c r="A32" t="s">
        <v>53</v>
      </c>
      <c r="B32">
        <v>2023</v>
      </c>
      <c r="C32" t="s">
        <v>26</v>
      </c>
      <c r="D32">
        <v>66</v>
      </c>
      <c r="E32">
        <v>2.4</v>
      </c>
      <c r="F32">
        <v>39.700000000000003</v>
      </c>
      <c r="G32">
        <v>17.399999999999999</v>
      </c>
      <c r="H32" s="1">
        <v>0.1</v>
      </c>
      <c r="I32" s="1">
        <v>0.3</v>
      </c>
      <c r="J32" s="2" t="str">
        <f t="shared" si="0"/>
        <v>Moderate</v>
      </c>
    </row>
    <row r="33" spans="1:10" ht="18" x14ac:dyDescent="0.2">
      <c r="A33" t="s">
        <v>54</v>
      </c>
      <c r="B33">
        <v>2023</v>
      </c>
      <c r="C33" t="s">
        <v>20</v>
      </c>
      <c r="D33">
        <v>412</v>
      </c>
      <c r="E33">
        <v>7.8</v>
      </c>
      <c r="F33">
        <v>4.3</v>
      </c>
      <c r="G33">
        <v>5.4</v>
      </c>
      <c r="H33" s="1">
        <v>0.05</v>
      </c>
      <c r="I33" s="1">
        <v>0.05</v>
      </c>
      <c r="J33" s="2" t="str">
        <f t="shared" si="0"/>
        <v>Weak</v>
      </c>
    </row>
    <row r="34" spans="1:10" ht="18" x14ac:dyDescent="0.2">
      <c r="A34" t="s">
        <v>55</v>
      </c>
      <c r="B34">
        <v>2023</v>
      </c>
      <c r="C34" t="s">
        <v>26</v>
      </c>
      <c r="D34">
        <v>154</v>
      </c>
      <c r="E34">
        <v>8.9</v>
      </c>
      <c r="F34">
        <v>5.0999999999999996</v>
      </c>
      <c r="G34">
        <v>12.2</v>
      </c>
      <c r="H34" s="1">
        <v>0.1</v>
      </c>
      <c r="I34" s="1">
        <v>0.17</v>
      </c>
      <c r="J34" s="2" t="str">
        <f t="shared" si="0"/>
        <v>Weak</v>
      </c>
    </row>
    <row r="35" spans="1:10" ht="18" x14ac:dyDescent="0.2">
      <c r="A35" t="s">
        <v>56</v>
      </c>
      <c r="B35">
        <v>2023</v>
      </c>
      <c r="C35" t="s">
        <v>24</v>
      </c>
      <c r="D35">
        <v>66</v>
      </c>
      <c r="E35">
        <v>40.4</v>
      </c>
      <c r="F35">
        <v>14.1</v>
      </c>
      <c r="G35">
        <v>30.6</v>
      </c>
      <c r="H35" s="1">
        <v>0.2</v>
      </c>
      <c r="I35" s="1">
        <v>-0.08</v>
      </c>
      <c r="J35" s="2" t="str">
        <f t="shared" si="0"/>
        <v>Weak</v>
      </c>
    </row>
    <row r="36" spans="1:10" ht="18" x14ac:dyDescent="0.2">
      <c r="A36" t="s">
        <v>57</v>
      </c>
      <c r="B36">
        <v>2023</v>
      </c>
      <c r="C36" t="s">
        <v>10</v>
      </c>
      <c r="D36">
        <v>865</v>
      </c>
      <c r="E36">
        <v>3.7</v>
      </c>
      <c r="F36">
        <v>0.8</v>
      </c>
      <c r="G36">
        <v>2.2000000000000002</v>
      </c>
      <c r="H36" s="1">
        <v>0.02</v>
      </c>
      <c r="I36" s="1">
        <v>0.01</v>
      </c>
      <c r="J36" s="2" t="str">
        <f t="shared" si="0"/>
        <v>Weak</v>
      </c>
    </row>
    <row r="37" spans="1:10" ht="18" x14ac:dyDescent="0.2">
      <c r="A37" t="s">
        <v>17</v>
      </c>
      <c r="B37">
        <v>2023</v>
      </c>
      <c r="C37" t="s">
        <v>18</v>
      </c>
      <c r="D37">
        <v>4326</v>
      </c>
      <c r="E37">
        <v>49.1</v>
      </c>
      <c r="F37">
        <v>0.9</v>
      </c>
      <c r="G37">
        <v>15.3</v>
      </c>
      <c r="H37" s="1">
        <v>0.05</v>
      </c>
      <c r="I37" s="1">
        <v>0.2</v>
      </c>
      <c r="J37" s="2" t="str">
        <f t="shared" si="0"/>
        <v>Moderate</v>
      </c>
    </row>
    <row r="38" spans="1:10" ht="18" x14ac:dyDescent="0.2">
      <c r="A38" t="s">
        <v>58</v>
      </c>
      <c r="B38">
        <v>2023</v>
      </c>
      <c r="C38" t="s">
        <v>41</v>
      </c>
      <c r="D38">
        <v>3200</v>
      </c>
      <c r="E38">
        <v>4.8</v>
      </c>
      <c r="F38">
        <v>1.5</v>
      </c>
      <c r="G38">
        <v>5.4</v>
      </c>
      <c r="H38" s="1">
        <v>0.02</v>
      </c>
      <c r="I38" s="1">
        <v>0.03</v>
      </c>
      <c r="J38" s="2" t="str">
        <f t="shared" si="0"/>
        <v>Weak</v>
      </c>
    </row>
    <row r="39" spans="1:10" ht="18" x14ac:dyDescent="0.2">
      <c r="A39" t="s">
        <v>59</v>
      </c>
      <c r="B39">
        <v>2023</v>
      </c>
      <c r="C39" t="s">
        <v>26</v>
      </c>
      <c r="D39">
        <v>606</v>
      </c>
      <c r="E39">
        <v>163.5</v>
      </c>
      <c r="F39">
        <v>13.8</v>
      </c>
      <c r="G39">
        <v>66.3</v>
      </c>
      <c r="H39" s="1">
        <v>0.35</v>
      </c>
      <c r="I39" s="1">
        <v>0.37</v>
      </c>
      <c r="J39" s="2" t="str">
        <f t="shared" si="0"/>
        <v>Strong</v>
      </c>
    </row>
    <row r="40" spans="1:10" ht="18" x14ac:dyDescent="0.2">
      <c r="A40" t="s">
        <v>60</v>
      </c>
      <c r="B40">
        <v>2023</v>
      </c>
      <c r="C40" t="s">
        <v>10</v>
      </c>
      <c r="D40">
        <v>567</v>
      </c>
      <c r="E40">
        <v>125.8</v>
      </c>
      <c r="F40">
        <v>85.2</v>
      </c>
      <c r="G40">
        <v>106</v>
      </c>
      <c r="H40" s="1">
        <v>0.75</v>
      </c>
      <c r="I40" s="1">
        <v>0.94</v>
      </c>
      <c r="J40" s="2" t="str">
        <f t="shared" si="0"/>
        <v>Strong</v>
      </c>
    </row>
    <row r="41" spans="1:10" ht="18" x14ac:dyDescent="0.2">
      <c r="A41" t="s">
        <v>61</v>
      </c>
      <c r="B41">
        <v>2023</v>
      </c>
      <c r="C41" t="s">
        <v>10</v>
      </c>
      <c r="D41">
        <v>592</v>
      </c>
      <c r="E41">
        <v>90.4</v>
      </c>
      <c r="F41">
        <v>49.2</v>
      </c>
      <c r="G41">
        <v>67.3</v>
      </c>
      <c r="H41" s="1">
        <v>0.5</v>
      </c>
      <c r="I41" s="1">
        <v>0.51</v>
      </c>
      <c r="J41" s="2" t="str">
        <f t="shared" si="0"/>
        <v>Strong</v>
      </c>
    </row>
    <row r="42" spans="1:10" ht="18" x14ac:dyDescent="0.2">
      <c r="A42" t="s">
        <v>62</v>
      </c>
      <c r="B42">
        <v>2023</v>
      </c>
      <c r="C42" t="s">
        <v>31</v>
      </c>
      <c r="D42">
        <v>405</v>
      </c>
      <c r="E42">
        <v>180.9</v>
      </c>
      <c r="F42">
        <v>15.4</v>
      </c>
      <c r="G42">
        <v>73.3</v>
      </c>
      <c r="H42" s="1">
        <v>0.3</v>
      </c>
      <c r="I42" s="1">
        <v>0.36</v>
      </c>
      <c r="J42" s="2" t="str">
        <f t="shared" si="0"/>
        <v>Strong</v>
      </c>
    </row>
    <row r="43" spans="1:10" ht="18" x14ac:dyDescent="0.2">
      <c r="A43" t="s">
        <v>63</v>
      </c>
      <c r="B43">
        <v>2023</v>
      </c>
      <c r="C43" t="s">
        <v>12</v>
      </c>
      <c r="D43">
        <v>500</v>
      </c>
      <c r="E43">
        <v>124.8</v>
      </c>
      <c r="F43">
        <v>72.099999999999994</v>
      </c>
      <c r="G43">
        <v>101.9</v>
      </c>
      <c r="H43" s="1">
        <v>0.6</v>
      </c>
      <c r="I43" s="1">
        <v>0.92</v>
      </c>
      <c r="J43" s="2" t="str">
        <f t="shared" si="0"/>
        <v>Strong</v>
      </c>
    </row>
    <row r="44" spans="1:10" ht="18" x14ac:dyDescent="0.2">
      <c r="A44" t="s">
        <v>64</v>
      </c>
      <c r="B44">
        <v>2023</v>
      </c>
      <c r="C44" t="s">
        <v>10</v>
      </c>
      <c r="D44">
        <v>631</v>
      </c>
      <c r="E44">
        <v>228.9</v>
      </c>
      <c r="F44">
        <v>19.100000000000001</v>
      </c>
      <c r="G44">
        <v>90.3</v>
      </c>
      <c r="H44" s="1">
        <v>0.75</v>
      </c>
      <c r="I44" s="1">
        <v>0.82</v>
      </c>
      <c r="J44" s="2" t="str">
        <f t="shared" si="0"/>
        <v>Strong</v>
      </c>
    </row>
    <row r="45" spans="1:10" ht="18" x14ac:dyDescent="0.2">
      <c r="A45" t="s">
        <v>65</v>
      </c>
      <c r="B45">
        <v>2023</v>
      </c>
      <c r="C45" t="s">
        <v>18</v>
      </c>
      <c r="D45">
        <v>686</v>
      </c>
      <c r="E45">
        <v>85.1</v>
      </c>
      <c r="F45">
        <v>8.3000000000000007</v>
      </c>
      <c r="G45">
        <v>36.1</v>
      </c>
      <c r="H45" s="1">
        <v>0.25</v>
      </c>
      <c r="I45" s="1">
        <v>0.11</v>
      </c>
      <c r="J45" s="2" t="str">
        <f t="shared" si="0"/>
        <v>Moderate</v>
      </c>
    </row>
    <row r="46" spans="1:10" ht="18" x14ac:dyDescent="0.2">
      <c r="A46" t="s">
        <v>66</v>
      </c>
      <c r="B46">
        <v>2023</v>
      </c>
      <c r="C46" t="s">
        <v>12</v>
      </c>
      <c r="D46">
        <v>1025</v>
      </c>
      <c r="E46">
        <v>192.9</v>
      </c>
      <c r="F46">
        <v>10.9</v>
      </c>
      <c r="G46">
        <v>70.099999999999994</v>
      </c>
      <c r="H46" s="1">
        <v>0.4</v>
      </c>
      <c r="I46" s="1">
        <v>0.62</v>
      </c>
      <c r="J46" s="2" t="str">
        <f t="shared" si="0"/>
        <v>Strong</v>
      </c>
    </row>
    <row r="47" spans="1:10" ht="18" x14ac:dyDescent="0.2">
      <c r="A47" t="s">
        <v>67</v>
      </c>
      <c r="B47">
        <v>2023</v>
      </c>
      <c r="C47" t="s">
        <v>18</v>
      </c>
      <c r="D47">
        <v>1551</v>
      </c>
      <c r="E47">
        <v>67.599999999999994</v>
      </c>
      <c r="F47">
        <v>3.7</v>
      </c>
      <c r="G47">
        <v>24.8</v>
      </c>
      <c r="H47" s="1">
        <v>0.2</v>
      </c>
      <c r="I47" s="1">
        <v>0.27</v>
      </c>
      <c r="J47" s="2" t="str">
        <f t="shared" si="0"/>
        <v>Moderate</v>
      </c>
    </row>
    <row r="48" spans="1:10" ht="18" x14ac:dyDescent="0.2">
      <c r="A48" t="s">
        <v>68</v>
      </c>
      <c r="B48">
        <v>2023</v>
      </c>
      <c r="C48" t="s">
        <v>16</v>
      </c>
      <c r="D48">
        <v>880</v>
      </c>
      <c r="E48">
        <v>1.3</v>
      </c>
      <c r="F48">
        <v>7.6</v>
      </c>
      <c r="G48">
        <v>2.7</v>
      </c>
      <c r="H48" s="1">
        <v>0.02</v>
      </c>
      <c r="I48" s="1">
        <v>0.05</v>
      </c>
      <c r="J48" s="2" t="str">
        <f t="shared" si="0"/>
        <v>Weak</v>
      </c>
    </row>
    <row r="49" spans="1:10" ht="18" x14ac:dyDescent="0.2">
      <c r="A49" t="s">
        <v>69</v>
      </c>
      <c r="B49">
        <v>2023</v>
      </c>
      <c r="C49" t="s">
        <v>26</v>
      </c>
      <c r="D49">
        <v>351</v>
      </c>
      <c r="E49">
        <v>194.7</v>
      </c>
      <c r="F49">
        <v>34.299999999999997</v>
      </c>
      <c r="G49">
        <v>97.1</v>
      </c>
      <c r="H49" s="1">
        <v>0.6</v>
      </c>
      <c r="I49" s="1">
        <v>0.51</v>
      </c>
      <c r="J49" s="2" t="str">
        <f t="shared" si="0"/>
        <v>Strong</v>
      </c>
    </row>
    <row r="50" spans="1:10" ht="18" x14ac:dyDescent="0.2">
      <c r="A50" t="s">
        <v>70</v>
      </c>
      <c r="B50">
        <v>2023</v>
      </c>
      <c r="C50" t="s">
        <v>24</v>
      </c>
      <c r="D50">
        <v>308</v>
      </c>
      <c r="E50">
        <v>171.6</v>
      </c>
      <c r="F50">
        <v>32</v>
      </c>
      <c r="G50">
        <v>87.8</v>
      </c>
      <c r="H50" s="1">
        <v>0.5</v>
      </c>
      <c r="I50" s="1">
        <v>0.47</v>
      </c>
      <c r="J50" s="2" t="str">
        <f t="shared" si="0"/>
        <v>Strong</v>
      </c>
    </row>
    <row r="51" spans="1:10" ht="18" x14ac:dyDescent="0.2">
      <c r="A51" t="s">
        <v>71</v>
      </c>
      <c r="B51">
        <v>2023</v>
      </c>
      <c r="C51" t="s">
        <v>26</v>
      </c>
      <c r="D51">
        <v>490</v>
      </c>
      <c r="E51">
        <v>72.5</v>
      </c>
      <c r="F51">
        <v>8.4</v>
      </c>
      <c r="G51">
        <v>31.6</v>
      </c>
      <c r="H51" s="1">
        <v>0.15</v>
      </c>
      <c r="I51" s="1">
        <v>0.04</v>
      </c>
      <c r="J51" s="2" t="str">
        <f t="shared" si="0"/>
        <v>Moderate</v>
      </c>
    </row>
    <row r="52" spans="1:10" ht="18" x14ac:dyDescent="0.2">
      <c r="A52" t="s">
        <v>72</v>
      </c>
      <c r="B52">
        <v>2023</v>
      </c>
      <c r="C52" t="s">
        <v>24</v>
      </c>
      <c r="D52">
        <v>321</v>
      </c>
      <c r="E52">
        <v>153</v>
      </c>
      <c r="F52">
        <v>29.7</v>
      </c>
      <c r="G52">
        <v>75.2</v>
      </c>
      <c r="H52" s="1">
        <v>0.45</v>
      </c>
      <c r="I52" s="1">
        <v>0.33</v>
      </c>
      <c r="J52" s="2" t="str">
        <f t="shared" si="0"/>
        <v>Strong</v>
      </c>
    </row>
    <row r="53" spans="1:10" ht="18" x14ac:dyDescent="0.2">
      <c r="A53" t="s">
        <v>73</v>
      </c>
      <c r="B53">
        <v>2023</v>
      </c>
      <c r="C53" t="s">
        <v>26</v>
      </c>
      <c r="D53">
        <v>1964</v>
      </c>
      <c r="E53">
        <v>52.2</v>
      </c>
      <c r="F53">
        <v>2.1</v>
      </c>
      <c r="G53">
        <v>18.600000000000001</v>
      </c>
      <c r="H53" s="1">
        <v>0.1</v>
      </c>
      <c r="I53" s="1">
        <v>0.14000000000000001</v>
      </c>
      <c r="J53" s="2" t="str">
        <f t="shared" si="0"/>
        <v>Moderate</v>
      </c>
    </row>
    <row r="54" spans="1:10" ht="18" x14ac:dyDescent="0.2">
      <c r="A54" t="s">
        <v>74</v>
      </c>
      <c r="B54">
        <v>2023</v>
      </c>
      <c r="C54" t="s">
        <v>10</v>
      </c>
      <c r="D54">
        <v>392</v>
      </c>
      <c r="E54">
        <v>16.7</v>
      </c>
      <c r="F54">
        <v>5.9</v>
      </c>
      <c r="G54">
        <v>12.5</v>
      </c>
      <c r="H54" s="1">
        <v>0.05</v>
      </c>
      <c r="I54" s="1">
        <v>0.16</v>
      </c>
      <c r="J54" s="2" t="str">
        <f t="shared" si="0"/>
        <v>Weak</v>
      </c>
    </row>
    <row r="55" spans="1:10" ht="18" x14ac:dyDescent="0.2">
      <c r="A55" t="s">
        <v>75</v>
      </c>
      <c r="B55">
        <v>2023</v>
      </c>
      <c r="C55" t="s">
        <v>76</v>
      </c>
      <c r="D55">
        <v>640</v>
      </c>
      <c r="E55">
        <v>4.5</v>
      </c>
      <c r="F55">
        <v>1.3</v>
      </c>
      <c r="G55">
        <v>2.9</v>
      </c>
      <c r="H55" s="1">
        <v>-0.02</v>
      </c>
      <c r="I55" s="1">
        <v>-0.05</v>
      </c>
      <c r="J55" s="2" t="str">
        <f t="shared" si="0"/>
        <v>Weak</v>
      </c>
    </row>
    <row r="56" spans="1:10" ht="18" x14ac:dyDescent="0.2">
      <c r="A56" t="s">
        <v>77</v>
      </c>
      <c r="B56">
        <v>2023</v>
      </c>
      <c r="C56" t="s">
        <v>26</v>
      </c>
      <c r="D56">
        <v>71</v>
      </c>
      <c r="E56">
        <v>42.8</v>
      </c>
      <c r="F56">
        <v>374.8</v>
      </c>
      <c r="G56">
        <v>160.9</v>
      </c>
      <c r="H56" s="1">
        <v>0.4</v>
      </c>
      <c r="I56" s="1">
        <v>0.4</v>
      </c>
      <c r="J56" s="2" t="str">
        <f t="shared" si="0"/>
        <v>Strong</v>
      </c>
    </row>
    <row r="57" spans="1:10" ht="18" x14ac:dyDescent="0.2">
      <c r="A57" t="s">
        <v>78</v>
      </c>
      <c r="B57">
        <v>2023</v>
      </c>
      <c r="C57" t="s">
        <v>18</v>
      </c>
      <c r="D57">
        <v>152</v>
      </c>
      <c r="E57">
        <v>0</v>
      </c>
      <c r="F57">
        <v>73.599999999999994</v>
      </c>
      <c r="G57">
        <v>29.7</v>
      </c>
      <c r="H57" s="1">
        <v>0.15</v>
      </c>
      <c r="I57" s="1">
        <v>0.16</v>
      </c>
      <c r="J57" s="2" t="str">
        <f t="shared" si="0"/>
        <v>Moderate</v>
      </c>
    </row>
    <row r="58" spans="1:10" ht="18" x14ac:dyDescent="0.2">
      <c r="A58" t="s">
        <v>79</v>
      </c>
      <c r="B58">
        <v>2023</v>
      </c>
      <c r="C58" t="s">
        <v>18</v>
      </c>
      <c r="D58">
        <v>840</v>
      </c>
      <c r="E58">
        <v>13.7</v>
      </c>
      <c r="F58">
        <v>2.2000000000000002</v>
      </c>
      <c r="G58">
        <v>7.9</v>
      </c>
      <c r="H58" s="1">
        <v>0.05</v>
      </c>
      <c r="I58" s="1">
        <v>0.19</v>
      </c>
      <c r="J58" s="2" t="str">
        <f t="shared" si="0"/>
        <v>Weak</v>
      </c>
    </row>
    <row r="59" spans="1:10" ht="18" x14ac:dyDescent="0.2">
      <c r="A59" t="s">
        <v>80</v>
      </c>
      <c r="B59">
        <v>2023</v>
      </c>
      <c r="C59" t="s">
        <v>12</v>
      </c>
      <c r="D59">
        <v>463</v>
      </c>
      <c r="E59">
        <v>173.5</v>
      </c>
      <c r="F59">
        <v>16.899999999999999</v>
      </c>
      <c r="G59">
        <v>73.099999999999994</v>
      </c>
      <c r="H59" s="1">
        <v>0.3</v>
      </c>
      <c r="I59" s="1">
        <v>0.15</v>
      </c>
      <c r="J59" s="2" t="str">
        <f t="shared" si="0"/>
        <v>Moderate</v>
      </c>
    </row>
    <row r="60" spans="1:10" ht="18" x14ac:dyDescent="0.2">
      <c r="A60" t="s">
        <v>81</v>
      </c>
      <c r="B60">
        <v>2023</v>
      </c>
      <c r="C60" t="s">
        <v>10</v>
      </c>
      <c r="D60">
        <v>490</v>
      </c>
      <c r="E60">
        <v>46.9</v>
      </c>
      <c r="F60">
        <v>8.9</v>
      </c>
      <c r="G60">
        <v>23.8</v>
      </c>
      <c r="H60" s="1">
        <v>0.1</v>
      </c>
      <c r="I60" s="1">
        <v>0.11</v>
      </c>
      <c r="J60" s="2" t="str">
        <f t="shared" si="0"/>
        <v>Moderate</v>
      </c>
    </row>
    <row r="61" spans="1:10" ht="18" x14ac:dyDescent="0.2">
      <c r="A61" t="s">
        <v>82</v>
      </c>
      <c r="B61">
        <v>2023</v>
      </c>
      <c r="C61" t="s">
        <v>20</v>
      </c>
      <c r="D61">
        <v>834</v>
      </c>
      <c r="E61">
        <v>142.4</v>
      </c>
      <c r="F61">
        <v>5.7</v>
      </c>
      <c r="G61">
        <v>51.1</v>
      </c>
      <c r="H61" s="1">
        <v>0.15</v>
      </c>
      <c r="I61" s="1">
        <v>0.08</v>
      </c>
      <c r="J61" s="2" t="str">
        <f t="shared" si="0"/>
        <v>Moderate</v>
      </c>
    </row>
    <row r="62" spans="1:10" ht="18" x14ac:dyDescent="0.2">
      <c r="A62" t="s">
        <v>13</v>
      </c>
      <c r="B62">
        <v>2023</v>
      </c>
      <c r="C62" t="s">
        <v>12</v>
      </c>
      <c r="D62">
        <v>2150</v>
      </c>
      <c r="E62">
        <v>104.5</v>
      </c>
      <c r="F62">
        <v>7.7</v>
      </c>
      <c r="G62">
        <v>38.799999999999997</v>
      </c>
      <c r="H62" s="1">
        <v>0.35</v>
      </c>
      <c r="I62" s="1">
        <v>0.87</v>
      </c>
      <c r="J62" s="2" t="str">
        <f t="shared" si="0"/>
        <v>Moderate</v>
      </c>
    </row>
    <row r="63" spans="1:10" ht="18" x14ac:dyDescent="0.2">
      <c r="A63" t="s">
        <v>83</v>
      </c>
      <c r="B63">
        <v>2023</v>
      </c>
      <c r="C63" t="s">
        <v>12</v>
      </c>
      <c r="D63">
        <v>1092</v>
      </c>
      <c r="E63">
        <v>3.5</v>
      </c>
      <c r="F63">
        <v>1.8</v>
      </c>
      <c r="G63">
        <v>2.2000000000000002</v>
      </c>
      <c r="H63" s="1">
        <v>0</v>
      </c>
      <c r="I63" s="1">
        <v>0.01</v>
      </c>
      <c r="J63" s="2" t="str">
        <f t="shared" si="0"/>
        <v>Weak</v>
      </c>
    </row>
    <row r="64" spans="1:10" ht="18" x14ac:dyDescent="0.2">
      <c r="A64" t="s">
        <v>84</v>
      </c>
      <c r="B64">
        <v>2023</v>
      </c>
      <c r="C64" t="s">
        <v>26</v>
      </c>
      <c r="D64">
        <v>593</v>
      </c>
      <c r="E64">
        <v>115.6</v>
      </c>
      <c r="F64">
        <v>13</v>
      </c>
      <c r="G64">
        <v>46.6</v>
      </c>
      <c r="H64" s="1">
        <v>0.2</v>
      </c>
      <c r="I64" s="1">
        <v>0.65</v>
      </c>
      <c r="J64" s="2" t="str">
        <f t="shared" si="0"/>
        <v>Moderate</v>
      </c>
    </row>
    <row r="65" spans="1:10" ht="18" x14ac:dyDescent="0.2">
      <c r="A65" t="s">
        <v>85</v>
      </c>
      <c r="B65">
        <v>2023</v>
      </c>
      <c r="C65" t="s">
        <v>26</v>
      </c>
      <c r="D65">
        <v>1200</v>
      </c>
      <c r="E65">
        <v>115.9</v>
      </c>
      <c r="F65">
        <v>69.599999999999994</v>
      </c>
      <c r="G65">
        <v>93.5</v>
      </c>
      <c r="H65" s="1">
        <v>0.65</v>
      </c>
      <c r="I65" s="1">
        <v>0.77</v>
      </c>
      <c r="J65" s="2" t="str">
        <f t="shared" si="0"/>
        <v>Strong</v>
      </c>
    </row>
    <row r="66" spans="1:10" ht="18" x14ac:dyDescent="0.2">
      <c r="A66" t="s">
        <v>86</v>
      </c>
      <c r="B66">
        <v>2023</v>
      </c>
      <c r="C66" t="s">
        <v>12</v>
      </c>
      <c r="D66">
        <v>1200</v>
      </c>
      <c r="E66">
        <v>89.7</v>
      </c>
      <c r="F66">
        <v>9.9</v>
      </c>
      <c r="G66">
        <v>36.700000000000003</v>
      </c>
      <c r="H66" s="1">
        <v>0.25</v>
      </c>
      <c r="I66" s="1">
        <v>0.25</v>
      </c>
      <c r="J66" s="2" t="str">
        <f t="shared" si="0"/>
        <v>Moderate</v>
      </c>
    </row>
    <row r="67" spans="1:10" ht="18" x14ac:dyDescent="0.2">
      <c r="A67" t="s">
        <v>87</v>
      </c>
      <c r="B67">
        <v>2023</v>
      </c>
      <c r="C67" t="s">
        <v>26</v>
      </c>
      <c r="D67">
        <v>1459</v>
      </c>
      <c r="E67">
        <v>147.80000000000001</v>
      </c>
      <c r="F67">
        <v>15</v>
      </c>
      <c r="G67">
        <v>61.2</v>
      </c>
      <c r="H67" s="1">
        <v>0.7</v>
      </c>
      <c r="I67" s="1">
        <v>0.43</v>
      </c>
      <c r="J67" s="2" t="str">
        <f t="shared" ref="J67:J83" si="1">IF(AND(G67&gt;50, I67&gt;0.2), "Strong", IF(OR(G67&lt;15, I67&lt;0), "Weak", "Moderate"))</f>
        <v>Strong</v>
      </c>
    </row>
    <row r="68" spans="1:10" ht="18" x14ac:dyDescent="0.2">
      <c r="A68" t="s">
        <v>88</v>
      </c>
      <c r="B68">
        <v>2023</v>
      </c>
      <c r="C68" t="s">
        <v>12</v>
      </c>
      <c r="D68">
        <v>960</v>
      </c>
      <c r="E68">
        <v>17.399999999999999</v>
      </c>
      <c r="F68">
        <v>7.6</v>
      </c>
      <c r="G68">
        <v>11.5</v>
      </c>
      <c r="H68" s="1">
        <v>0.05</v>
      </c>
      <c r="I68" s="1">
        <v>0.04</v>
      </c>
      <c r="J68" s="2" t="str">
        <f t="shared" si="1"/>
        <v>Weak</v>
      </c>
    </row>
    <row r="69" spans="1:10" ht="18" x14ac:dyDescent="0.2">
      <c r="A69" t="s">
        <v>89</v>
      </c>
      <c r="B69">
        <v>2023</v>
      </c>
      <c r="C69" t="s">
        <v>31</v>
      </c>
      <c r="D69">
        <v>151</v>
      </c>
      <c r="E69">
        <v>157.4</v>
      </c>
      <c r="F69">
        <v>122.2</v>
      </c>
      <c r="G69">
        <v>159.6</v>
      </c>
      <c r="H69" s="1">
        <v>1</v>
      </c>
      <c r="I69" s="1">
        <v>0.98</v>
      </c>
      <c r="J69" s="2" t="str">
        <f t="shared" si="1"/>
        <v>Strong</v>
      </c>
    </row>
    <row r="70" spans="1:10" ht="18" x14ac:dyDescent="0.2">
      <c r="A70" t="s">
        <v>90</v>
      </c>
      <c r="B70">
        <v>2023</v>
      </c>
      <c r="C70" t="s">
        <v>41</v>
      </c>
      <c r="D70">
        <v>400</v>
      </c>
      <c r="E70">
        <v>24.2</v>
      </c>
      <c r="F70">
        <v>9.3000000000000007</v>
      </c>
      <c r="G70">
        <v>15.6</v>
      </c>
      <c r="H70" s="1">
        <v>0.05</v>
      </c>
      <c r="I70" s="1">
        <v>-0.05</v>
      </c>
      <c r="J70" s="2" t="str">
        <f t="shared" si="1"/>
        <v>Weak</v>
      </c>
    </row>
    <row r="71" spans="1:10" ht="18" x14ac:dyDescent="0.2">
      <c r="A71" t="s">
        <v>91</v>
      </c>
      <c r="B71">
        <v>2023</v>
      </c>
      <c r="C71" t="s">
        <v>26</v>
      </c>
      <c r="D71">
        <v>1008</v>
      </c>
      <c r="E71">
        <v>220.4</v>
      </c>
      <c r="F71">
        <v>15</v>
      </c>
      <c r="G71">
        <v>82</v>
      </c>
      <c r="H71" s="1">
        <v>0.4</v>
      </c>
      <c r="I71" s="1">
        <v>0.17</v>
      </c>
      <c r="J71" s="2" t="str">
        <f t="shared" si="1"/>
        <v>Moderate</v>
      </c>
    </row>
    <row r="72" spans="1:10" ht="18" x14ac:dyDescent="0.2">
      <c r="A72" t="s">
        <v>92</v>
      </c>
      <c r="B72">
        <v>2023</v>
      </c>
      <c r="C72" t="s">
        <v>31</v>
      </c>
      <c r="D72">
        <v>100</v>
      </c>
      <c r="E72">
        <v>13.4</v>
      </c>
      <c r="F72">
        <v>24.7</v>
      </c>
      <c r="G72">
        <v>16.8</v>
      </c>
      <c r="H72" s="1">
        <v>0</v>
      </c>
      <c r="I72" s="1">
        <v>0</v>
      </c>
      <c r="J72" s="2" t="str">
        <f t="shared" si="1"/>
        <v>Moderate</v>
      </c>
    </row>
    <row r="73" spans="1:10" ht="18" x14ac:dyDescent="0.2">
      <c r="A73" t="s">
        <v>93</v>
      </c>
      <c r="B73">
        <v>2023</v>
      </c>
      <c r="C73" t="s">
        <v>26</v>
      </c>
      <c r="D73">
        <v>740</v>
      </c>
      <c r="E73">
        <v>179.6</v>
      </c>
      <c r="F73">
        <v>23.7</v>
      </c>
      <c r="G73">
        <v>80.599999999999994</v>
      </c>
      <c r="H73" s="1">
        <v>0.5</v>
      </c>
      <c r="I73" s="1">
        <v>0.28999999999999998</v>
      </c>
      <c r="J73" s="2" t="str">
        <f t="shared" si="1"/>
        <v>Strong</v>
      </c>
    </row>
    <row r="74" spans="1:10" ht="18" x14ac:dyDescent="0.2">
      <c r="A74" t="s">
        <v>94</v>
      </c>
      <c r="B74">
        <v>2023</v>
      </c>
      <c r="C74" t="s">
        <v>18</v>
      </c>
      <c r="D74">
        <v>570</v>
      </c>
      <c r="E74">
        <v>116.9</v>
      </c>
      <c r="F74">
        <v>17.100000000000001</v>
      </c>
      <c r="G74">
        <v>55.2</v>
      </c>
      <c r="H74" s="1">
        <v>0.2</v>
      </c>
      <c r="I74" s="1">
        <v>0.21</v>
      </c>
      <c r="J74" s="2" t="str">
        <f t="shared" si="1"/>
        <v>Strong</v>
      </c>
    </row>
    <row r="75" spans="1:10" ht="18" x14ac:dyDescent="0.2">
      <c r="A75" t="s">
        <v>95</v>
      </c>
      <c r="B75">
        <v>2024</v>
      </c>
      <c r="C75" t="s">
        <v>26</v>
      </c>
      <c r="D75">
        <v>1000</v>
      </c>
      <c r="E75">
        <v>44.1</v>
      </c>
      <c r="F75">
        <v>26.1</v>
      </c>
      <c r="G75">
        <v>38.5</v>
      </c>
      <c r="H75" s="1">
        <v>0.15</v>
      </c>
      <c r="I75" s="1">
        <v>0.3</v>
      </c>
      <c r="J75" s="2" t="str">
        <f t="shared" si="1"/>
        <v>Moderate</v>
      </c>
    </row>
    <row r="76" spans="1:10" ht="18" x14ac:dyDescent="0.2">
      <c r="A76" t="s">
        <v>96</v>
      </c>
      <c r="B76">
        <v>2024</v>
      </c>
      <c r="C76" t="s">
        <v>18</v>
      </c>
      <c r="D76">
        <v>1171</v>
      </c>
      <c r="E76">
        <v>40.1</v>
      </c>
      <c r="F76">
        <v>3.1</v>
      </c>
      <c r="G76">
        <v>16.2</v>
      </c>
      <c r="H76" s="1">
        <v>0.1</v>
      </c>
      <c r="I76" s="1">
        <v>0.11</v>
      </c>
      <c r="J76" s="2" t="str">
        <f t="shared" si="1"/>
        <v>Moderate</v>
      </c>
    </row>
    <row r="77" spans="1:10" ht="18" x14ac:dyDescent="0.2">
      <c r="A77" t="s">
        <v>97</v>
      </c>
      <c r="B77">
        <v>2024</v>
      </c>
      <c r="C77" t="s">
        <v>26</v>
      </c>
      <c r="D77">
        <v>640</v>
      </c>
      <c r="E77">
        <v>25.5</v>
      </c>
      <c r="F77">
        <v>6.2</v>
      </c>
      <c r="G77">
        <v>16.3</v>
      </c>
      <c r="H77" s="1">
        <v>0.05</v>
      </c>
      <c r="I77" s="1">
        <v>-0.04</v>
      </c>
      <c r="J77" s="2" t="str">
        <f t="shared" si="1"/>
        <v>Weak</v>
      </c>
    </row>
    <row r="78" spans="1:10" ht="18" x14ac:dyDescent="0.2">
      <c r="A78" t="s">
        <v>98</v>
      </c>
      <c r="B78">
        <v>2024</v>
      </c>
      <c r="C78" t="s">
        <v>48</v>
      </c>
      <c r="D78">
        <v>143</v>
      </c>
      <c r="E78">
        <v>79.3</v>
      </c>
      <c r="F78">
        <v>77.099999999999994</v>
      </c>
      <c r="G78">
        <v>109.3</v>
      </c>
      <c r="H78" s="1">
        <v>0.5</v>
      </c>
      <c r="I78" s="1">
        <v>0.34</v>
      </c>
      <c r="J78" s="2" t="str">
        <f t="shared" si="1"/>
        <v>Strong</v>
      </c>
    </row>
    <row r="79" spans="1:10" ht="18" x14ac:dyDescent="0.2">
      <c r="A79" t="s">
        <v>99</v>
      </c>
      <c r="B79">
        <v>2024</v>
      </c>
      <c r="C79" t="s">
        <v>100</v>
      </c>
      <c r="D79">
        <v>920</v>
      </c>
      <c r="E79">
        <v>25.6</v>
      </c>
      <c r="F79">
        <v>9.3000000000000007</v>
      </c>
      <c r="G79">
        <v>24.4</v>
      </c>
      <c r="H79" s="1">
        <v>0.1</v>
      </c>
      <c r="I79" s="1">
        <v>0.02</v>
      </c>
      <c r="J79" s="2" t="str">
        <f t="shared" si="1"/>
        <v>Moderate</v>
      </c>
    </row>
    <row r="80" spans="1:10" ht="18" x14ac:dyDescent="0.2">
      <c r="A80" t="s">
        <v>101</v>
      </c>
      <c r="B80">
        <v>2024</v>
      </c>
      <c r="C80" t="s">
        <v>10</v>
      </c>
      <c r="D80">
        <v>600</v>
      </c>
      <c r="E80">
        <v>143.6</v>
      </c>
      <c r="F80">
        <v>10.4</v>
      </c>
      <c r="G80">
        <v>59.7</v>
      </c>
      <c r="H80" s="1">
        <v>0.2</v>
      </c>
      <c r="I80" s="1">
        <v>0.09</v>
      </c>
      <c r="J80" s="2" t="str">
        <f t="shared" si="1"/>
        <v>Moderate</v>
      </c>
    </row>
    <row r="81" spans="1:10" ht="18" x14ac:dyDescent="0.2">
      <c r="A81" t="s">
        <v>102</v>
      </c>
      <c r="B81">
        <v>2024</v>
      </c>
      <c r="C81" t="s">
        <v>12</v>
      </c>
      <c r="D81">
        <v>523</v>
      </c>
      <c r="E81">
        <v>6.6</v>
      </c>
      <c r="F81">
        <v>2.4</v>
      </c>
      <c r="G81">
        <v>4</v>
      </c>
      <c r="H81" s="1">
        <v>0</v>
      </c>
      <c r="I81" s="1">
        <v>-0.08</v>
      </c>
      <c r="J81" s="2" t="str">
        <f t="shared" si="1"/>
        <v>Weak</v>
      </c>
    </row>
    <row r="82" spans="1:10" ht="18" x14ac:dyDescent="0.2">
      <c r="A82" t="s">
        <v>103</v>
      </c>
      <c r="B82">
        <v>2024</v>
      </c>
      <c r="C82" t="s">
        <v>12</v>
      </c>
      <c r="D82">
        <v>570</v>
      </c>
      <c r="E82">
        <v>38.700000000000003</v>
      </c>
      <c r="F82">
        <v>5.4</v>
      </c>
      <c r="G82">
        <v>18.5</v>
      </c>
      <c r="H82" s="1">
        <v>0.15</v>
      </c>
      <c r="I82" s="1">
        <v>-0.04</v>
      </c>
      <c r="J82" s="2" t="str">
        <f t="shared" si="1"/>
        <v>Weak</v>
      </c>
    </row>
    <row r="83" spans="1:10" ht="18" x14ac:dyDescent="0.2">
      <c r="A83" t="s">
        <v>104</v>
      </c>
      <c r="B83">
        <v>2024</v>
      </c>
      <c r="C83" t="s">
        <v>26</v>
      </c>
      <c r="D83">
        <v>72</v>
      </c>
      <c r="E83">
        <v>191.4</v>
      </c>
      <c r="F83">
        <v>188.1</v>
      </c>
      <c r="G83">
        <v>298.8</v>
      </c>
      <c r="H83" s="1">
        <v>1</v>
      </c>
      <c r="I83" s="1">
        <v>1.81</v>
      </c>
      <c r="J83" s="2" t="str">
        <f t="shared" si="1"/>
        <v>Strong</v>
      </c>
    </row>
  </sheetData>
  <conditionalFormatting sqref="J1:J1048576">
    <cfRule type="cellIs" dxfId="2" priority="1" operator="equal">
      <formula>"moderate"</formula>
    </cfRule>
    <cfRule type="cellIs" dxfId="1" priority="2" operator="equal">
      <formula>"weak"</formula>
    </cfRule>
    <cfRule type="cellIs" dxfId="0" priority="3" operator="equal">
      <formula>"strong"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2B528-0BD4-9E48-A647-26DDC2706AB7}">
  <dimension ref="A3:E21"/>
  <sheetViews>
    <sheetView topLeftCell="A2" zoomScale="170" workbookViewId="0">
      <selection activeCell="H3" sqref="H3"/>
    </sheetView>
  </sheetViews>
  <sheetFormatPr baseColWidth="10" defaultRowHeight="16" x14ac:dyDescent="0.2"/>
  <cols>
    <col min="1" max="1" width="22" bestFit="1" customWidth="1"/>
    <col min="2" max="2" width="16" bestFit="1" customWidth="1"/>
    <col min="3" max="3" width="6.5" bestFit="1" customWidth="1"/>
    <col min="4" max="4" width="5.83203125" bestFit="1" customWidth="1"/>
    <col min="5" max="5" width="10.5" bestFit="1" customWidth="1"/>
  </cols>
  <sheetData>
    <row r="3" spans="1:5" x14ac:dyDescent="0.2">
      <c r="A3" s="3" t="s">
        <v>112</v>
      </c>
      <c r="B3" s="3" t="s">
        <v>111</v>
      </c>
    </row>
    <row r="4" spans="1:5" x14ac:dyDescent="0.2">
      <c r="A4" s="3" t="s">
        <v>106</v>
      </c>
      <c r="B4" t="s">
        <v>108</v>
      </c>
      <c r="C4" t="s">
        <v>109</v>
      </c>
      <c r="D4" t="s">
        <v>110</v>
      </c>
      <c r="E4" t="s">
        <v>107</v>
      </c>
    </row>
    <row r="5" spans="1:5" x14ac:dyDescent="0.2">
      <c r="A5" s="4" t="s">
        <v>48</v>
      </c>
      <c r="B5">
        <v>1</v>
      </c>
      <c r="C5">
        <v>1</v>
      </c>
      <c r="E5">
        <v>2</v>
      </c>
    </row>
    <row r="6" spans="1:5" x14ac:dyDescent="0.2">
      <c r="A6" s="4" t="s">
        <v>20</v>
      </c>
      <c r="B6">
        <v>1</v>
      </c>
      <c r="D6">
        <v>2</v>
      </c>
      <c r="E6">
        <v>3</v>
      </c>
    </row>
    <row r="7" spans="1:5" x14ac:dyDescent="0.2">
      <c r="A7" s="4" t="s">
        <v>45</v>
      </c>
      <c r="B7">
        <v>1</v>
      </c>
      <c r="E7">
        <v>1</v>
      </c>
    </row>
    <row r="8" spans="1:5" x14ac:dyDescent="0.2">
      <c r="A8" s="4" t="s">
        <v>43</v>
      </c>
      <c r="D8">
        <v>1</v>
      </c>
      <c r="E8">
        <v>1</v>
      </c>
    </row>
    <row r="9" spans="1:5" x14ac:dyDescent="0.2">
      <c r="A9" s="4" t="s">
        <v>12</v>
      </c>
      <c r="B9">
        <v>4</v>
      </c>
      <c r="C9">
        <v>3</v>
      </c>
      <c r="D9">
        <v>9</v>
      </c>
      <c r="E9">
        <v>16</v>
      </c>
    </row>
    <row r="10" spans="1:5" x14ac:dyDescent="0.2">
      <c r="A10" s="4" t="s">
        <v>22</v>
      </c>
      <c r="B10">
        <v>2</v>
      </c>
      <c r="D10">
        <v>2</v>
      </c>
      <c r="E10">
        <v>4</v>
      </c>
    </row>
    <row r="11" spans="1:5" x14ac:dyDescent="0.2">
      <c r="A11" s="4" t="s">
        <v>18</v>
      </c>
      <c r="B11">
        <v>6</v>
      </c>
      <c r="C11">
        <v>1</v>
      </c>
      <c r="D11">
        <v>3</v>
      </c>
      <c r="E11">
        <v>10</v>
      </c>
    </row>
    <row r="12" spans="1:5" x14ac:dyDescent="0.2">
      <c r="A12" s="4" t="s">
        <v>100</v>
      </c>
      <c r="B12">
        <v>1</v>
      </c>
      <c r="E12">
        <v>1</v>
      </c>
    </row>
    <row r="13" spans="1:5" x14ac:dyDescent="0.2">
      <c r="A13" s="4" t="s">
        <v>24</v>
      </c>
      <c r="B13">
        <v>1</v>
      </c>
      <c r="C13">
        <v>2</v>
      </c>
      <c r="D13">
        <v>1</v>
      </c>
      <c r="E13">
        <v>4</v>
      </c>
    </row>
    <row r="14" spans="1:5" x14ac:dyDescent="0.2">
      <c r="A14" s="4" t="s">
        <v>16</v>
      </c>
      <c r="D14">
        <v>2</v>
      </c>
      <c r="E14">
        <v>2</v>
      </c>
    </row>
    <row r="15" spans="1:5" x14ac:dyDescent="0.2">
      <c r="A15" s="4" t="s">
        <v>26</v>
      </c>
      <c r="B15">
        <v>7</v>
      </c>
      <c r="C15">
        <v>7</v>
      </c>
      <c r="D15">
        <v>3</v>
      </c>
      <c r="E15">
        <v>17</v>
      </c>
    </row>
    <row r="16" spans="1:5" x14ac:dyDescent="0.2">
      <c r="A16" s="4" t="s">
        <v>41</v>
      </c>
      <c r="D16">
        <v>3</v>
      </c>
      <c r="E16">
        <v>3</v>
      </c>
    </row>
    <row r="17" spans="1:5" x14ac:dyDescent="0.2">
      <c r="A17" s="4" t="s">
        <v>31</v>
      </c>
      <c r="B17">
        <v>1</v>
      </c>
      <c r="C17">
        <v>3</v>
      </c>
      <c r="D17">
        <v>2</v>
      </c>
      <c r="E17">
        <v>6</v>
      </c>
    </row>
    <row r="18" spans="1:5" x14ac:dyDescent="0.2">
      <c r="A18" s="4" t="s">
        <v>76</v>
      </c>
      <c r="D18">
        <v>1</v>
      </c>
      <c r="E18">
        <v>1</v>
      </c>
    </row>
    <row r="19" spans="1:5" x14ac:dyDescent="0.2">
      <c r="A19" s="4" t="s">
        <v>10</v>
      </c>
      <c r="B19">
        <v>3</v>
      </c>
      <c r="C19">
        <v>4</v>
      </c>
      <c r="D19">
        <v>3</v>
      </c>
      <c r="E19">
        <v>10</v>
      </c>
    </row>
    <row r="20" spans="1:5" x14ac:dyDescent="0.2">
      <c r="A20" s="4" t="s">
        <v>28</v>
      </c>
      <c r="B20">
        <v>1</v>
      </c>
      <c r="E20">
        <v>1</v>
      </c>
    </row>
    <row r="21" spans="1:5" x14ac:dyDescent="0.2">
      <c r="A21" s="4" t="s">
        <v>107</v>
      </c>
      <c r="B21">
        <v>29</v>
      </c>
      <c r="C21">
        <v>21</v>
      </c>
      <c r="D21">
        <v>32</v>
      </c>
      <c r="E21">
        <v>82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ARJITH BALAJI</dc:creator>
  <cp:lastModifiedBy>ARJITH BALAJI</cp:lastModifiedBy>
  <dcterms:created xsi:type="dcterms:W3CDTF">2026-04-01T16:50:58Z</dcterms:created>
  <dcterms:modified xsi:type="dcterms:W3CDTF">2026-04-02T17:38:54Z</dcterms:modified>
</cp:coreProperties>
</file>